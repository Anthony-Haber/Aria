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3f9c8b4bcca75c/Desktop/AUB/Music Intelligence Lab/aria midi/"/>
    </mc:Choice>
  </mc:AlternateContent>
  <xr:revisionPtr revIDLastSave="554" documentId="8_{9700EDE2-DBC1-4897-9021-8ABA3D7EA486}" xr6:coauthVersionLast="47" xr6:coauthVersionMax="47" xr10:uidLastSave="{BE8F2AC2-CCDC-4E5C-B24B-82DC17D8EBBA}"/>
  <bookViews>
    <workbookView xWindow="-108" yWindow="-108" windowWidth="23256" windowHeight="13176" activeTab="1" xr2:uid="{19C7DDBD-3AFA-408D-9C13-A460C79C13F6}"/>
  </bookViews>
  <sheets>
    <sheet name="Data" sheetId="1" r:id="rId1"/>
    <sheet name="Stability" sheetId="7" r:id="rId2"/>
    <sheet name="Exploration-Minp-Temp" sheetId="2" r:id="rId3"/>
    <sheet name="Musicality-Temp-Topp" sheetId="3" r:id="rId4"/>
    <sheet name="Exploration-tenp-minp" sheetId="4" r:id="rId5"/>
    <sheet name="Exploration3d-temp-minp" sheetId="5" r:id="rId6"/>
    <sheet name="Exploration-topp-temp-3d" sheetId="6" r:id="rId7"/>
  </sheets>
  <calcPr calcId="191029"/>
  <pivotCaches>
    <pivotCache cacheId="0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4" i="1"/>
  <c r="P6" i="1"/>
  <c r="P5" i="1"/>
  <c r="P4" i="1"/>
</calcChain>
</file>

<file path=xl/sharedStrings.xml><?xml version="1.0" encoding="utf-8"?>
<sst xmlns="http://schemas.openxmlformats.org/spreadsheetml/2006/main" count="155" uniqueCount="96">
  <si>
    <t>File Name</t>
  </si>
  <si>
    <t>Specifics</t>
  </si>
  <si>
    <t>12barblues</t>
  </si>
  <si>
    <t>(Temperature, Top_ps,Min_ps)</t>
  </si>
  <si>
    <t>(0.6,0.9,0)</t>
  </si>
  <si>
    <t>(0.6,0.9,0.02)</t>
  </si>
  <si>
    <t>(0.6,0.9,0.04)</t>
  </si>
  <si>
    <t>(0.6,0.9,0.06)</t>
  </si>
  <si>
    <t>(0.6,0.95,0)</t>
  </si>
  <si>
    <t>(0.6,0.95,0.02)</t>
  </si>
  <si>
    <t>(0.6,0.95,0.04)</t>
  </si>
  <si>
    <t>(0.6,0.95,0.06)</t>
  </si>
  <si>
    <t>(0.6,0.98,0)</t>
  </si>
  <si>
    <t>(0.6,0.98,0.02)</t>
  </si>
  <si>
    <t>(0.6,0.98,0.04)</t>
  </si>
  <si>
    <t>(0.6,0.98,0.06)</t>
  </si>
  <si>
    <t>(0.8,0.9,0)</t>
  </si>
  <si>
    <t>(0.8,0.9,0.02)</t>
  </si>
  <si>
    <t>(0.8,0.9,0.04)</t>
  </si>
  <si>
    <t>(0.8,0.9,0.06)</t>
  </si>
  <si>
    <t>(0.8,0.95,0)</t>
  </si>
  <si>
    <t>(0.8,0.95,0.02)</t>
  </si>
  <si>
    <t>(0.8,0.95,0.04)</t>
  </si>
  <si>
    <t>(0.8,0.95,0.06)</t>
  </si>
  <si>
    <t>(0.8,0.98,0)</t>
  </si>
  <si>
    <t>(0.8,0.98,0.02)</t>
  </si>
  <si>
    <t>(0.8,0.98,0.04)</t>
  </si>
  <si>
    <t>(0.8,0.98,0.06)</t>
  </si>
  <si>
    <t>(1,0.9,0)</t>
  </si>
  <si>
    <t>(1,0.9,0.02)</t>
  </si>
  <si>
    <t>(1,0.9,0.04)</t>
  </si>
  <si>
    <t>(1,0.9,0.06)</t>
  </si>
  <si>
    <t>(1,0.95,0)</t>
  </si>
  <si>
    <t>Rhythm Norm</t>
  </si>
  <si>
    <t>Musicality Norm</t>
  </si>
  <si>
    <t>Repetition Norm</t>
  </si>
  <si>
    <t>Pitch Variation Norm</t>
  </si>
  <si>
    <t>Random Norm</t>
  </si>
  <si>
    <t>Exploration</t>
  </si>
  <si>
    <t>Experimental</t>
  </si>
  <si>
    <t>Comments</t>
  </si>
  <si>
    <t>it did a classic jazz pattern but repeted it all the time</t>
  </si>
  <si>
    <t>new lick</t>
  </si>
  <si>
    <t>nice</t>
  </si>
  <si>
    <t>scale change (goood?????)</t>
  </si>
  <si>
    <t>chords new</t>
  </si>
  <si>
    <t>improv across scale</t>
  </si>
  <si>
    <t>improv on chords</t>
  </si>
  <si>
    <t>scale changes and then back to the original scale</t>
  </si>
  <si>
    <t>new licks + chromatism</t>
  </si>
  <si>
    <t>went to g major</t>
  </si>
  <si>
    <t>pentatonic scale focus</t>
  </si>
  <si>
    <t>(1,0.95,0.04)</t>
  </si>
  <si>
    <t>(1,0.95,0.06)</t>
  </si>
  <si>
    <t>(1,0.98,0)</t>
  </si>
  <si>
    <t>very good bluesy, it got the assignment, but flopped at some parts</t>
  </si>
  <si>
    <t>also good, did the correct blues repetition, but in terms of improv not that good</t>
  </si>
  <si>
    <t>(1,0.98,0.06)</t>
  </si>
  <si>
    <t>(1.2,0.9,0)</t>
  </si>
  <si>
    <t>very good but at the end it started doing smajor scales</t>
  </si>
  <si>
    <t>(1.2,0.9,0.06)</t>
  </si>
  <si>
    <t>(1.2,0.95,0)</t>
  </si>
  <si>
    <t>wow</t>
  </si>
  <si>
    <t>(1.2,0.95,0.06)</t>
  </si>
  <si>
    <t>(1.2,0.98,0)</t>
  </si>
  <si>
    <t>nice at some parts</t>
  </si>
  <si>
    <t>(1.2,0.98,0.06)</t>
  </si>
  <si>
    <t>did a nice progression but then went off topic and repeated but then did a nice ending</t>
  </si>
  <si>
    <t>bad piggies</t>
  </si>
  <si>
    <t>played the same thing octave lower</t>
  </si>
  <si>
    <t>played the same</t>
  </si>
  <si>
    <t>noteworthy</t>
  </si>
  <si>
    <t>nice , it knew how to diveate and go back in tempo to the original song with octaves added</t>
  </si>
  <si>
    <t>took the song to something else, made its new part</t>
  </si>
  <si>
    <t>random</t>
  </si>
  <si>
    <t>folk</t>
  </si>
  <si>
    <t>bad then good</t>
  </si>
  <si>
    <t>not bad</t>
  </si>
  <si>
    <t>bad</t>
  </si>
  <si>
    <t>nice then bad</t>
  </si>
  <si>
    <t>nice, improved and then came back home</t>
  </si>
  <si>
    <t>Human</t>
  </si>
  <si>
    <t>Aria</t>
  </si>
  <si>
    <t>temperature</t>
  </si>
  <si>
    <t>Min_p</t>
  </si>
  <si>
    <t>Top_p</t>
  </si>
  <si>
    <t>Row Labels</t>
  </si>
  <si>
    <t>Grand Total</t>
  </si>
  <si>
    <t>Average of Exploration</t>
  </si>
  <si>
    <t>Column Labels</t>
  </si>
  <si>
    <t>Average of Musicality Norm</t>
  </si>
  <si>
    <t>Stability</t>
  </si>
  <si>
    <t>Average of Stability</t>
  </si>
  <si>
    <t>C major blues, C major F major 7 and G major 7 progression</t>
  </si>
  <si>
    <t>Minor harmonic and melodic minor, in an instrumental march beat</t>
  </si>
  <si>
    <t>Folk themed song, C dorian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</si>
</sst>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2"/>
      <name val="Verdana"/>
      <family val="2"/>
    </font>
    <font>
      <sz val="11"/>
      <color theme="1"/>
      <name val="Verdana"/>
      <family val="2"/>
    </font>
    <font>
      <b/>
      <sz val="16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2" fontId="0" fillId="0" borderId="0" xfId="0" applyNumberFormat="1"/>
    <xf numFmtId="2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1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2" borderId="0" xfId="0" applyNumberFormat="1" applyFont="1" applyFill="1"/>
    <xf numFmtId="2" fontId="0" fillId="0" borderId="0" xfId="0" applyNumberFormat="1" applyAlignment="1">
      <alignment horizontal="center"/>
    </xf>
    <xf numFmtId="2" fontId="3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[Aria Review No Hidden ^M Graphs.xlsx]Stability!PivotTable1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Stability!$B$3:$B$4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Stability!$A$5:$A$9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Stability!$B$5:$B$9</c:f>
              <c:numCache>
                <c:formatCode>General</c:formatCode>
                <c:ptCount val="4"/>
                <c:pt idx="0">
                  <c:v>1</c:v>
                </c:pt>
                <c:pt idx="1">
                  <c:v>0.78749999999999998</c:v>
                </c:pt>
                <c:pt idx="2">
                  <c:v>0.67321428571428577</c:v>
                </c:pt>
                <c:pt idx="3">
                  <c:v>0.47222222222222221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D-4B1C-8393-E58175870C8C}"/>
            </c:ext>
          </c:extLst>
        </c:ser>
        <c:ser>
          <c:idx val="1"/>
          <c:order val="1"/>
          <c:tx>
            <c:strRef>
              <c:f>Stability!$C$3:$C$4</c:f>
              <c:strCache>
                <c:ptCount val="1"/>
                <c:pt idx="0">
                  <c:v>0.02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Stability!$A$5:$A$9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Stability!$C$5:$C$9</c:f>
              <c:numCache>
                <c:formatCode>General</c:formatCode>
                <c:ptCount val="4"/>
                <c:pt idx="0">
                  <c:v>0.95833333333333337</c:v>
                </c:pt>
                <c:pt idx="1">
                  <c:v>0.79166666666666663</c:v>
                </c:pt>
                <c:pt idx="2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D-4B1C-8393-E58175870C8C}"/>
            </c:ext>
          </c:extLst>
        </c:ser>
        <c:ser>
          <c:idx val="2"/>
          <c:order val="2"/>
          <c:tx>
            <c:strRef>
              <c:f>Stability!$D$3:$D$4</c:f>
              <c:strCache>
                <c:ptCount val="1"/>
                <c:pt idx="0">
                  <c:v>0.04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Stability!$A$5:$A$9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Stability!$D$5:$D$9</c:f>
              <c:numCache>
                <c:formatCode>General</c:formatCode>
                <c:ptCount val="4"/>
                <c:pt idx="0">
                  <c:v>0.875</c:v>
                </c:pt>
                <c:pt idx="1">
                  <c:v>0.85416666666666663</c:v>
                </c:pt>
                <c:pt idx="2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BD-4B1C-8393-E58175870C8C}"/>
            </c:ext>
          </c:extLst>
        </c:ser>
        <c:ser>
          <c:idx val="3"/>
          <c:order val="3"/>
          <c:tx>
            <c:strRef>
              <c:f>Stability!$E$3:$E$4</c:f>
              <c:strCache>
                <c:ptCount val="1"/>
                <c:pt idx="0">
                  <c:v>0.06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Stability!$A$5:$A$9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Stability!$E$5:$E$9</c:f>
              <c:numCache>
                <c:formatCode>General</c:formatCode>
                <c:ptCount val="4"/>
                <c:pt idx="0">
                  <c:v>0.92500000000000004</c:v>
                </c:pt>
                <c:pt idx="1">
                  <c:v>0.78749999999999998</c:v>
                </c:pt>
                <c:pt idx="2">
                  <c:v>0.67499999999999993</c:v>
                </c:pt>
                <c:pt idx="3">
                  <c:v>0.71388888888888891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BD-4B1C-8393-E58175870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632799"/>
        <c:axId val="1119630399"/>
      </c:lineChart>
      <c:catAx>
        <c:axId val="111963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30399"/>
        <c:crosses val="autoZero"/>
        <c:auto val="1"/>
        <c:lblAlgn val="ctr"/>
        <c:lblOffset val="100"/>
        <c:noMultiLvlLbl val="0"/>
      </c:catAx>
      <c:valAx>
        <c:axId val="111963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63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[Aria Review No Hidden ^M Graphs.xlsx]Stability!PivotTable2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Stability!$B$12:$B$13</c:f>
              <c:strCache>
                <c:ptCount val="1"/>
                <c:pt idx="0">
                  <c:v>0.6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Stability!$A$14:$A$18</c:f>
              <c:strCache>
                <c:ptCount val="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</c:strCache>
            </c:strRef>
          </c:cat>
          <c:val>
            <c:numRef>
              <c:f>Stability!$B$14:$B$18</c:f>
              <c:numCache>
                <c:formatCode>General</c:formatCode>
                <c:ptCount val="4"/>
                <c:pt idx="0">
                  <c:v>1</c:v>
                </c:pt>
                <c:pt idx="1">
                  <c:v>0.95833333333333337</c:v>
                </c:pt>
                <c:pt idx="2">
                  <c:v>0.875</c:v>
                </c:pt>
                <c:pt idx="3">
                  <c:v>0.92500000000000004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3-479D-A0A6-4ED7468856A5}"/>
            </c:ext>
          </c:extLst>
        </c:ser>
        <c:ser>
          <c:idx val="1"/>
          <c:order val="1"/>
          <c:tx>
            <c:strRef>
              <c:f>Stability!$C$12:$C$13</c:f>
              <c:strCache>
                <c:ptCount val="1"/>
                <c:pt idx="0">
                  <c:v>0.8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Stability!$A$14:$A$18</c:f>
              <c:strCache>
                <c:ptCount val="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</c:strCache>
            </c:strRef>
          </c:cat>
          <c:val>
            <c:numRef>
              <c:f>Stability!$C$14:$C$18</c:f>
              <c:numCache>
                <c:formatCode>General</c:formatCode>
                <c:ptCount val="4"/>
                <c:pt idx="0">
                  <c:v>0.78749999999999998</c:v>
                </c:pt>
                <c:pt idx="1">
                  <c:v>0.79166666666666663</c:v>
                </c:pt>
                <c:pt idx="2">
                  <c:v>0.85416666666666663</c:v>
                </c:pt>
                <c:pt idx="3">
                  <c:v>0.78749999999999998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63-479D-A0A6-4ED7468856A5}"/>
            </c:ext>
          </c:extLst>
        </c:ser>
        <c:ser>
          <c:idx val="2"/>
          <c:order val="2"/>
          <c:tx>
            <c:strRef>
              <c:f>Stability!$D$12:$D$13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Stability!$A$14:$A$18</c:f>
              <c:strCache>
                <c:ptCount val="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</c:strCache>
            </c:strRef>
          </c:cat>
          <c:val>
            <c:numRef>
              <c:f>Stability!$D$14:$D$18</c:f>
              <c:numCache>
                <c:formatCode>General</c:formatCode>
                <c:ptCount val="4"/>
                <c:pt idx="0">
                  <c:v>0.67321428571428577</c:v>
                </c:pt>
                <c:pt idx="1">
                  <c:v>0.75</c:v>
                </c:pt>
                <c:pt idx="2">
                  <c:v>0.625</c:v>
                </c:pt>
                <c:pt idx="3">
                  <c:v>0.67499999999999993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63-479D-A0A6-4ED7468856A5}"/>
            </c:ext>
          </c:extLst>
        </c:ser>
        <c:ser>
          <c:idx val="3"/>
          <c:order val="3"/>
          <c:tx>
            <c:strRef>
              <c:f>Stability!$E$12:$E$13</c:f>
              <c:strCache>
                <c:ptCount val="1"/>
                <c:pt idx="0">
                  <c:v>1.2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Stability!$A$14:$A$18</c:f>
              <c:strCache>
                <c:ptCount val="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</c:strCache>
            </c:strRef>
          </c:cat>
          <c:val>
            <c:numRef>
              <c:f>Stability!$E$14:$E$18</c:f>
              <c:numCache>
                <c:formatCode>General</c:formatCode>
                <c:ptCount val="4"/>
                <c:pt idx="0">
                  <c:v>0.47222222222222221</c:v>
                </c:pt>
                <c:pt idx="3">
                  <c:v>0.71388888888888891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63-479D-A0A6-4ED746885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9934527"/>
        <c:axId val="1029931167"/>
      </c:lineChart>
      <c:catAx>
        <c:axId val="102993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31167"/>
        <c:crosses val="autoZero"/>
        <c:auto val="1"/>
        <c:lblAlgn val="ctr"/>
        <c:lblOffset val="100"/>
        <c:noMultiLvlLbl val="0"/>
      </c:catAx>
      <c:valAx>
        <c:axId val="102993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93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[Aria Review No Hidden ^M Graphs.xlsx]Exploration-Minp-Temp!PivotTable2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'Exploration-Minp-Temp'!$B$3:$B$4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'Exploration-Minp-Temp'!$A$5:$A$9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'Exploration-Minp-Temp'!$B$5:$B$9</c:f>
              <c:numCache>
                <c:formatCode>General</c:formatCode>
                <c:ptCount val="4"/>
                <c:pt idx="0">
                  <c:v>0</c:v>
                </c:pt>
                <c:pt idx="1">
                  <c:v>0.23749999999999999</c:v>
                </c:pt>
                <c:pt idx="2">
                  <c:v>0.3392857142857143</c:v>
                </c:pt>
                <c:pt idx="3">
                  <c:v>0.78472222222222221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B-434D-823D-018A0CDDDCCF}"/>
            </c:ext>
          </c:extLst>
        </c:ser>
        <c:ser>
          <c:idx val="1"/>
          <c:order val="1"/>
          <c:tx>
            <c:strRef>
              <c:f>'Exploration-Minp-Temp'!$C$3:$C$4</c:f>
              <c:strCache>
                <c:ptCount val="1"/>
                <c:pt idx="0">
                  <c:v>0.02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'Exploration-Minp-Temp'!$A$5:$A$9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'Exploration-Minp-Temp'!$C$5:$C$9</c:f>
              <c:numCache>
                <c:formatCode>General</c:formatCode>
                <c:ptCount val="4"/>
                <c:pt idx="0">
                  <c:v>0</c:v>
                </c:pt>
                <c:pt idx="1">
                  <c:v>8.3333333333333329E-2</c:v>
                </c:pt>
                <c:pt idx="2">
                  <c:v>0.1875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AB-434D-823D-018A0CDDDCCF}"/>
            </c:ext>
          </c:extLst>
        </c:ser>
        <c:ser>
          <c:idx val="2"/>
          <c:order val="2"/>
          <c:tx>
            <c:strRef>
              <c:f>'Exploration-Minp-Temp'!$D$3:$D$4</c:f>
              <c:strCache>
                <c:ptCount val="1"/>
                <c:pt idx="0">
                  <c:v>0.04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'Exploration-Minp-Temp'!$A$5:$A$9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'Exploration-Minp-Temp'!$D$5:$D$9</c:f>
              <c:numCache>
                <c:formatCode>General</c:formatCode>
                <c:ptCount val="4"/>
                <c:pt idx="0">
                  <c:v>6.25E-2</c:v>
                </c:pt>
                <c:pt idx="1">
                  <c:v>6.25E-2</c:v>
                </c:pt>
                <c:pt idx="2">
                  <c:v>0.28125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AB-434D-823D-018A0CDDDCCF}"/>
            </c:ext>
          </c:extLst>
        </c:ser>
        <c:ser>
          <c:idx val="3"/>
          <c:order val="3"/>
          <c:tx>
            <c:strRef>
              <c:f>'Exploration-Minp-Temp'!$E$3:$E$4</c:f>
              <c:strCache>
                <c:ptCount val="1"/>
                <c:pt idx="0">
                  <c:v>0.06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'Exploration-Minp-Temp'!$A$5:$A$9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'Exploration-Minp-Temp'!$E$5:$E$9</c:f>
              <c:numCache>
                <c:formatCode>General</c:formatCode>
                <c:ptCount val="4"/>
                <c:pt idx="0">
                  <c:v>0.125</c:v>
                </c:pt>
                <c:pt idx="1">
                  <c:v>0.27500000000000002</c:v>
                </c:pt>
                <c:pt idx="2">
                  <c:v>0.48214285714285715</c:v>
                </c:pt>
                <c:pt idx="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AB-434D-823D-018A0CDDD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5875488"/>
        <c:axId val="1115876928"/>
      </c:lineChart>
      <c:catAx>
        <c:axId val="111587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876928"/>
        <c:crosses val="autoZero"/>
        <c:auto val="1"/>
        <c:lblAlgn val="ctr"/>
        <c:lblOffset val="100"/>
        <c:noMultiLvlLbl val="0"/>
      </c:catAx>
      <c:valAx>
        <c:axId val="111587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87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[Aria Review No Hidden ^M Graphs.xlsx]Musicality-Temp-Topp!PivotTable3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'Musicality-Temp-Topp'!$B$3:$B$4</c:f>
              <c:strCache>
                <c:ptCount val="1"/>
                <c:pt idx="0">
                  <c:v>0.9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'Musicality-Temp-Topp'!$A$5:$A$9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'Musicality-Temp-Topp'!$B$5:$B$9</c:f>
              <c:numCache>
                <c:formatCode>General</c:formatCode>
                <c:ptCount val="4"/>
                <c:pt idx="0">
                  <c:v>0.20833333333333334</c:v>
                </c:pt>
                <c:pt idx="1">
                  <c:v>0.52083333333333337</c:v>
                </c:pt>
                <c:pt idx="2">
                  <c:v>0.640625</c:v>
                </c:pt>
                <c:pt idx="3">
                  <c:v>0.52083333333333337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3-4E14-AFF4-63795DAB9C09}"/>
            </c:ext>
          </c:extLst>
        </c:ser>
        <c:ser>
          <c:idx val="1"/>
          <c:order val="1"/>
          <c:tx>
            <c:strRef>
              <c:f>'Musicality-Temp-Topp'!$C$3:$C$4</c:f>
              <c:strCache>
                <c:ptCount val="1"/>
                <c:pt idx="0">
                  <c:v>0.95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'Musicality-Temp-Topp'!$A$5:$A$9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'Musicality-Temp-Topp'!$C$5:$C$9</c:f>
              <c:numCache>
                <c:formatCode>General</c:formatCode>
                <c:ptCount val="4"/>
                <c:pt idx="0">
                  <c:v>0.125</c:v>
                </c:pt>
                <c:pt idx="1">
                  <c:v>0.40625</c:v>
                </c:pt>
                <c:pt idx="2">
                  <c:v>0.41666666666666669</c:v>
                </c:pt>
                <c:pt idx="3">
                  <c:v>0.5625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93-4E14-AFF4-63795DAB9C09}"/>
            </c:ext>
          </c:extLst>
        </c:ser>
        <c:ser>
          <c:idx val="2"/>
          <c:order val="2"/>
          <c:tx>
            <c:strRef>
              <c:f>'Musicality-Temp-Topp'!$D$3:$D$4</c:f>
              <c:strCache>
                <c:ptCount val="1"/>
                <c:pt idx="0">
                  <c:v>0.98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'Musicality-Temp-Topp'!$A$5:$A$9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'Musicality-Temp-Topp'!$D$5:$D$9</c:f>
              <c:numCache>
                <c:formatCode>General</c:formatCode>
                <c:ptCount val="4"/>
                <c:pt idx="0">
                  <c:v>0.375</c:v>
                </c:pt>
                <c:pt idx="1">
                  <c:v>0.52083333333333337</c:v>
                </c:pt>
                <c:pt idx="2">
                  <c:v>0.58333333333333337</c:v>
                </c:pt>
                <c:pt idx="3">
                  <c:v>0.58333333333333337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93-4E14-AFF4-63795DAB9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604816"/>
        <c:axId val="1251606368"/>
      </c:lineChart>
      <c:catAx>
        <c:axId val="125260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06368"/>
        <c:crosses val="autoZero"/>
        <c:auto val="1"/>
        <c:lblAlgn val="ctr"/>
        <c:lblOffset val="100"/>
        <c:noMultiLvlLbl val="0"/>
      </c:catAx>
      <c:valAx>
        <c:axId val="125160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0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[Aria Review No Hidden ^M Graphs.xlsx]Exploration-tenp-minp!PivotTable4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'Exploration-tenp-minp'!$B$3:$B$4</c:f>
              <c:strCache>
                <c:ptCount val="1"/>
                <c:pt idx="0">
                  <c:v>0.6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'Exploration-tenp-minp'!$A$5:$A$9</c:f>
              <c:strCache>
                <c:ptCount val="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</c:strCache>
            </c:strRef>
          </c:cat>
          <c:val>
            <c:numRef>
              <c:f>'Exploration-tenp-minp'!$B$5:$B$9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6.25E-2</c:v>
                </c:pt>
                <c:pt idx="3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8-45D2-AFDC-1288F497A252}"/>
            </c:ext>
          </c:extLst>
        </c:ser>
        <c:ser>
          <c:idx val="1"/>
          <c:order val="1"/>
          <c:tx>
            <c:strRef>
              <c:f>'Exploration-tenp-minp'!$C$3:$C$4</c:f>
              <c:strCache>
                <c:ptCount val="1"/>
                <c:pt idx="0">
                  <c:v>0.8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'Exploration-tenp-minp'!$A$5:$A$9</c:f>
              <c:strCache>
                <c:ptCount val="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</c:strCache>
            </c:strRef>
          </c:cat>
          <c:val>
            <c:numRef>
              <c:f>'Exploration-tenp-minp'!$C$5:$C$9</c:f>
              <c:numCache>
                <c:formatCode>General</c:formatCode>
                <c:ptCount val="4"/>
                <c:pt idx="0">
                  <c:v>0.23749999999999999</c:v>
                </c:pt>
                <c:pt idx="1">
                  <c:v>8.3333333333333329E-2</c:v>
                </c:pt>
                <c:pt idx="2">
                  <c:v>6.25E-2</c:v>
                </c:pt>
                <c:pt idx="3">
                  <c:v>0.27500000000000002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68-45D2-AFDC-1288F497A252}"/>
            </c:ext>
          </c:extLst>
        </c:ser>
        <c:ser>
          <c:idx val="2"/>
          <c:order val="2"/>
          <c:tx>
            <c:strRef>
              <c:f>'Exploration-tenp-minp'!$D$3:$D$4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'Exploration-tenp-minp'!$A$5:$A$9</c:f>
              <c:strCache>
                <c:ptCount val="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</c:strCache>
            </c:strRef>
          </c:cat>
          <c:val>
            <c:numRef>
              <c:f>'Exploration-tenp-minp'!$D$5:$D$9</c:f>
              <c:numCache>
                <c:formatCode>General</c:formatCode>
                <c:ptCount val="4"/>
                <c:pt idx="0">
                  <c:v>0.3392857142857143</c:v>
                </c:pt>
                <c:pt idx="1">
                  <c:v>0.1875</c:v>
                </c:pt>
                <c:pt idx="2">
                  <c:v>0.28125</c:v>
                </c:pt>
                <c:pt idx="3">
                  <c:v>0.48214285714285715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68-45D2-AFDC-1288F497A252}"/>
            </c:ext>
          </c:extLst>
        </c:ser>
        <c:ser>
          <c:idx val="3"/>
          <c:order val="3"/>
          <c:tx>
            <c:strRef>
              <c:f>'Exploration-tenp-minp'!$E$3:$E$4</c:f>
              <c:strCache>
                <c:ptCount val="1"/>
                <c:pt idx="0">
                  <c:v>1.2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'Exploration-tenp-minp'!$A$5:$A$9</c:f>
              <c:strCache>
                <c:ptCount val="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</c:strCache>
            </c:strRef>
          </c:cat>
          <c:val>
            <c:numRef>
              <c:f>'Exploration-tenp-minp'!$E$5:$E$9</c:f>
              <c:numCache>
                <c:formatCode>General</c:formatCode>
                <c:ptCount val="4"/>
                <c:pt idx="0">
                  <c:v>0.78472222222222221</c:v>
                </c:pt>
                <c:pt idx="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68-45D2-AFDC-1288F497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1571040"/>
        <c:axId val="1251572000"/>
      </c:lineChart>
      <c:catAx>
        <c:axId val="125157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572000"/>
        <c:crosses val="autoZero"/>
        <c:auto val="1"/>
        <c:lblAlgn val="ctr"/>
        <c:lblOffset val="100"/>
        <c:noMultiLvlLbl val="0"/>
      </c:catAx>
      <c:valAx>
        <c:axId val="125157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57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Musicality vs</a:t>
            </a:r>
            <a:r>
              <a:rPr lang="en-US" baseline="0"/>
              <a:t> Exploration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Musicality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Data!$J$4:$J$72</c:f>
              <c:numCache>
                <c:formatCode>0.00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6.25E-2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0.125</c:v>
                </c:pt>
                <c:pt idx="11">
                  <c:v>0.125</c:v>
                </c:pt>
                <c:pt idx="12">
                  <c:v>6.25E-2</c:v>
                </c:pt>
                <c:pt idx="13">
                  <c:v>6.25E-2</c:v>
                </c:pt>
                <c:pt idx="14">
                  <c:v>0.125</c:v>
                </c:pt>
                <c:pt idx="15">
                  <c:v>0</c:v>
                </c:pt>
                <c:pt idx="16">
                  <c:v>0</c:v>
                </c:pt>
                <c:pt idx="17">
                  <c:v>6.25E-2</c:v>
                </c:pt>
                <c:pt idx="18">
                  <c:v>6.25E-2</c:v>
                </c:pt>
                <c:pt idx="19">
                  <c:v>6.25E-2</c:v>
                </c:pt>
                <c:pt idx="20">
                  <c:v>0.1875</c:v>
                </c:pt>
                <c:pt idx="21">
                  <c:v>0.125</c:v>
                </c:pt>
                <c:pt idx="22">
                  <c:v>0</c:v>
                </c:pt>
                <c:pt idx="23">
                  <c:v>6.25E-2</c:v>
                </c:pt>
                <c:pt idx="24">
                  <c:v>0.125</c:v>
                </c:pt>
                <c:pt idx="25">
                  <c:v>0.1875</c:v>
                </c:pt>
                <c:pt idx="26">
                  <c:v>0.1875</c:v>
                </c:pt>
                <c:pt idx="27">
                  <c:v>0.1875</c:v>
                </c:pt>
                <c:pt idx="28">
                  <c:v>6.25E-2</c:v>
                </c:pt>
                <c:pt idx="29">
                  <c:v>0.375</c:v>
                </c:pt>
                <c:pt idx="30">
                  <c:v>0.25</c:v>
                </c:pt>
                <c:pt idx="31">
                  <c:v>6.25E-2</c:v>
                </c:pt>
                <c:pt idx="32">
                  <c:v>0.5625</c:v>
                </c:pt>
                <c:pt idx="33">
                  <c:v>0.25</c:v>
                </c:pt>
                <c:pt idx="34">
                  <c:v>0.25</c:v>
                </c:pt>
                <c:pt idx="35">
                  <c:v>0.75</c:v>
                </c:pt>
                <c:pt idx="36">
                  <c:v>0.1875</c:v>
                </c:pt>
                <c:pt idx="37">
                  <c:v>0.6875</c:v>
                </c:pt>
                <c:pt idx="38">
                  <c:v>0.5</c:v>
                </c:pt>
                <c:pt idx="40">
                  <c:v>0</c:v>
                </c:pt>
                <c:pt idx="41">
                  <c:v>0.125</c:v>
                </c:pt>
                <c:pt idx="42">
                  <c:v>0</c:v>
                </c:pt>
                <c:pt idx="43">
                  <c:v>0.375</c:v>
                </c:pt>
                <c:pt idx="44">
                  <c:v>0.5</c:v>
                </c:pt>
                <c:pt idx="45">
                  <c:v>0.6875</c:v>
                </c:pt>
                <c:pt idx="46">
                  <c:v>0.4375</c:v>
                </c:pt>
                <c:pt idx="47">
                  <c:v>0.5</c:v>
                </c:pt>
                <c:pt idx="48">
                  <c:v>0.625</c:v>
                </c:pt>
                <c:pt idx="49">
                  <c:v>0.5</c:v>
                </c:pt>
                <c:pt idx="50">
                  <c:v>0.6875</c:v>
                </c:pt>
                <c:pt idx="51">
                  <c:v>0.375</c:v>
                </c:pt>
                <c:pt idx="52">
                  <c:v>1</c:v>
                </c:pt>
                <c:pt idx="53">
                  <c:v>0.6875</c:v>
                </c:pt>
                <c:pt idx="55">
                  <c:v>0.625</c:v>
                </c:pt>
                <c:pt idx="56">
                  <c:v>0.5</c:v>
                </c:pt>
                <c:pt idx="57">
                  <c:v>0.3125</c:v>
                </c:pt>
                <c:pt idx="58">
                  <c:v>0.75</c:v>
                </c:pt>
                <c:pt idx="59">
                  <c:v>0.5</c:v>
                </c:pt>
                <c:pt idx="60">
                  <c:v>0.625</c:v>
                </c:pt>
                <c:pt idx="61">
                  <c:v>0.6875</c:v>
                </c:pt>
                <c:pt idx="62">
                  <c:v>0.5625</c:v>
                </c:pt>
                <c:pt idx="63">
                  <c:v>1.0625</c:v>
                </c:pt>
                <c:pt idx="64">
                  <c:v>0.75</c:v>
                </c:pt>
                <c:pt idx="65">
                  <c:v>1.125</c:v>
                </c:pt>
                <c:pt idx="66">
                  <c:v>0.75</c:v>
                </c:pt>
                <c:pt idx="67">
                  <c:v>0.875</c:v>
                </c:pt>
                <c:pt idx="68">
                  <c:v>0.5</c:v>
                </c:pt>
              </c:numCache>
            </c:numRef>
          </c:xVal>
          <c:yVal>
            <c:numRef>
              <c:f>Data!$E$4:$E$72</c:f>
              <c:numCache>
                <c:formatCode>0.00</c:formatCode>
                <c:ptCount val="69"/>
                <c:pt idx="0">
                  <c:v>0.25</c:v>
                </c:pt>
                <c:pt idx="1">
                  <c:v>0.25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0.625</c:v>
                </c:pt>
                <c:pt idx="14">
                  <c:v>0.625</c:v>
                </c:pt>
                <c:pt idx="15">
                  <c:v>0.375</c:v>
                </c:pt>
                <c:pt idx="16">
                  <c:v>0</c:v>
                </c:pt>
                <c:pt idx="17">
                  <c:v>0.5</c:v>
                </c:pt>
                <c:pt idx="18">
                  <c:v>0.5</c:v>
                </c:pt>
                <c:pt idx="19">
                  <c:v>0.625</c:v>
                </c:pt>
                <c:pt idx="20">
                  <c:v>0.625</c:v>
                </c:pt>
                <c:pt idx="21">
                  <c:v>0.625</c:v>
                </c:pt>
                <c:pt idx="22">
                  <c:v>0.125</c:v>
                </c:pt>
                <c:pt idx="23">
                  <c:v>0.5</c:v>
                </c:pt>
                <c:pt idx="24">
                  <c:v>0.75</c:v>
                </c:pt>
                <c:pt idx="25">
                  <c:v>0.625</c:v>
                </c:pt>
                <c:pt idx="26">
                  <c:v>0.5</c:v>
                </c:pt>
                <c:pt idx="27">
                  <c:v>0.5</c:v>
                </c:pt>
                <c:pt idx="28">
                  <c:v>0.375</c:v>
                </c:pt>
                <c:pt idx="29">
                  <c:v>0.375</c:v>
                </c:pt>
                <c:pt idx="30">
                  <c:v>0.5</c:v>
                </c:pt>
                <c:pt idx="31">
                  <c:v>0.375</c:v>
                </c:pt>
                <c:pt idx="32">
                  <c:v>0.5</c:v>
                </c:pt>
                <c:pt idx="33">
                  <c:v>0.5</c:v>
                </c:pt>
                <c:pt idx="34">
                  <c:v>0.25</c:v>
                </c:pt>
                <c:pt idx="35">
                  <c:v>1</c:v>
                </c:pt>
                <c:pt idx="36">
                  <c:v>0.5</c:v>
                </c:pt>
                <c:pt idx="37">
                  <c:v>0.875</c:v>
                </c:pt>
                <c:pt idx="38">
                  <c:v>0.75</c:v>
                </c:pt>
                <c:pt idx="40">
                  <c:v>0</c:v>
                </c:pt>
                <c:pt idx="41">
                  <c:v>0</c:v>
                </c:pt>
                <c:pt idx="42">
                  <c:v>-0.25</c:v>
                </c:pt>
                <c:pt idx="43">
                  <c:v>0.75</c:v>
                </c:pt>
                <c:pt idx="44">
                  <c:v>0.75</c:v>
                </c:pt>
                <c:pt idx="45">
                  <c:v>0.625</c:v>
                </c:pt>
                <c:pt idx="46">
                  <c:v>0.5</c:v>
                </c:pt>
                <c:pt idx="47">
                  <c:v>0.625</c:v>
                </c:pt>
                <c:pt idx="48">
                  <c:v>0.75</c:v>
                </c:pt>
                <c:pt idx="49">
                  <c:v>0.5</c:v>
                </c:pt>
                <c:pt idx="50">
                  <c:v>0.5</c:v>
                </c:pt>
                <c:pt idx="51">
                  <c:v>0.375</c:v>
                </c:pt>
                <c:pt idx="52">
                  <c:v>0</c:v>
                </c:pt>
                <c:pt idx="53">
                  <c:v>0.625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0.75</c:v>
                </c:pt>
                <c:pt idx="59">
                  <c:v>0.75</c:v>
                </c:pt>
                <c:pt idx="60">
                  <c:v>0.625</c:v>
                </c:pt>
                <c:pt idx="61">
                  <c:v>0.75</c:v>
                </c:pt>
                <c:pt idx="62">
                  <c:v>0.75</c:v>
                </c:pt>
                <c:pt idx="63">
                  <c:v>0.5</c:v>
                </c:pt>
                <c:pt idx="64">
                  <c:v>0.625</c:v>
                </c:pt>
                <c:pt idx="65">
                  <c:v>0.25</c:v>
                </c:pt>
                <c:pt idx="66">
                  <c:v>0.75</c:v>
                </c:pt>
                <c:pt idx="67">
                  <c:v>0.5</c:v>
                </c:pt>
                <c:pt idx="68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4-40A3-86FA-F5D54127C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368768"/>
        <c:axId val="1250365888"/>
      </c:scatterChart>
      <c:valAx>
        <c:axId val="125036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Exploration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65888"/>
        <c:crosses val="autoZero"/>
        <c:crossBetween val="midCat"/>
      </c:valAx>
      <c:valAx>
        <c:axId val="12503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Musicality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36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[Aria Review No Hidden ^M Graphs.xlsx]Exploration3d-temp-minp!PivotTable19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/>
          <a:effectLst/>
          <a:sp3d/>
        </c:spPr>
      </c:pivotFmt>
      <c:pivotFmt>
        <c:idx val="6"/>
        <c:spPr>
          <a:solidFill>
            <a:schemeClr val="accent2"/>
          </a:solidFill>
          <a:ln/>
          <a:effectLst/>
          <a:sp3d/>
        </c:spPr>
      </c:pivotFmt>
      <c:pivotFmt>
        <c:idx val="7"/>
        <c:spPr>
          <a:solidFill>
            <a:schemeClr val="accent3"/>
          </a:solidFill>
          <a:ln/>
          <a:effectLst/>
          <a:sp3d/>
        </c:spPr>
      </c:pivotFmt>
      <c:pivotFmt>
        <c:idx val="8"/>
        <c:spPr>
          <a:solidFill>
            <a:schemeClr val="accent4"/>
          </a:solidFill>
          <a:ln/>
          <a:effectLst/>
          <a:sp3d/>
        </c:spPr>
      </c:pivotFmt>
    </c:pivotFmts>
    <c:view3D>
      <c:rotX val="20"/>
      <c:rotY val="5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'Exploration3d-temp-minp'!$B$3:$B$4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'Exploration3d-temp-minp'!$A$5:$A$9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'Exploration3d-temp-minp'!$B$5:$B$9</c:f>
              <c:numCache>
                <c:formatCode>General</c:formatCode>
                <c:ptCount val="4"/>
                <c:pt idx="0">
                  <c:v>0</c:v>
                </c:pt>
                <c:pt idx="1">
                  <c:v>0.23749999999999999</c:v>
                </c:pt>
                <c:pt idx="2">
                  <c:v>0.3392857142857143</c:v>
                </c:pt>
                <c:pt idx="3">
                  <c:v>0.78472222222222221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D-401F-B2FC-FBDCFCD1535D}"/>
            </c:ext>
          </c:extLst>
        </c:ser>
        <c:ser>
          <c:idx val="1"/>
          <c:order val="1"/>
          <c:tx>
            <c:strRef>
              <c:f>'Exploration3d-temp-minp'!$C$3:$C$4</c:f>
              <c:strCache>
                <c:ptCount val="1"/>
                <c:pt idx="0">
                  <c:v>0.02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'Exploration3d-temp-minp'!$A$5:$A$9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'Exploration3d-temp-minp'!$C$5:$C$9</c:f>
              <c:numCache>
                <c:formatCode>General</c:formatCode>
                <c:ptCount val="4"/>
                <c:pt idx="0">
                  <c:v>0</c:v>
                </c:pt>
                <c:pt idx="1">
                  <c:v>8.3333333333333329E-2</c:v>
                </c:pt>
                <c:pt idx="2">
                  <c:v>0.1875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D-401F-B2FC-FBDCFCD1535D}"/>
            </c:ext>
          </c:extLst>
        </c:ser>
        <c:ser>
          <c:idx val="2"/>
          <c:order val="2"/>
          <c:tx>
            <c:strRef>
              <c:f>'Exploration3d-temp-minp'!$D$3:$D$4</c:f>
              <c:strCache>
                <c:ptCount val="1"/>
                <c:pt idx="0">
                  <c:v>0.04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'Exploration3d-temp-minp'!$A$5:$A$9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'Exploration3d-temp-minp'!$D$5:$D$9</c:f>
              <c:numCache>
                <c:formatCode>General</c:formatCode>
                <c:ptCount val="4"/>
                <c:pt idx="0">
                  <c:v>6.25E-2</c:v>
                </c:pt>
                <c:pt idx="1">
                  <c:v>6.25E-2</c:v>
                </c:pt>
                <c:pt idx="2">
                  <c:v>0.28125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D-401F-B2FC-FBDCFCD1535D}"/>
            </c:ext>
          </c:extLst>
        </c:ser>
        <c:ser>
          <c:idx val="3"/>
          <c:order val="3"/>
          <c:tx>
            <c:strRef>
              <c:f>'Exploration3d-temp-minp'!$E$3:$E$4</c:f>
              <c:strCache>
                <c:ptCount val="1"/>
                <c:pt idx="0">
                  <c:v>0.06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strRef>
              <c:f>'Exploration3d-temp-minp'!$A$5:$A$9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'Exploration3d-temp-minp'!$E$5:$E$9</c:f>
              <c:numCache>
                <c:formatCode>General</c:formatCode>
                <c:ptCount val="4"/>
                <c:pt idx="0">
                  <c:v>0.125</c:v>
                </c:pt>
                <c:pt idx="1">
                  <c:v>0.27500000000000002</c:v>
                </c:pt>
                <c:pt idx="2">
                  <c:v>0.48214285714285715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D-401F-B2FC-FBDCFCD1535D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</c:bandFmts>
        <c:axId val="1083842096"/>
        <c:axId val="1083838736"/>
        <c:axId val="1713418944"/>
      </c:surface3DChart>
      <c:catAx>
        <c:axId val="108384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38736"/>
        <c:crosses val="autoZero"/>
        <c:auto val="1"/>
        <c:lblAlgn val="ctr"/>
        <c:lblOffset val="100"/>
        <c:noMultiLvlLbl val="0"/>
      </c:catAx>
      <c:valAx>
        <c:axId val="10838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42096"/>
        <c:crosses val="autoZero"/>
        <c:crossBetween val="midCat"/>
      </c:valAx>
      <c:serAx>
        <c:axId val="17134189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387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[Aria Review No Hidden ^M Graphs.xlsx]Exploration-topp-temp-3d!PivotTable20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'Exploration-topp-temp-3d'!$B$3:$B$4</c:f>
              <c:strCache>
                <c:ptCount val="1"/>
                <c:pt idx="0">
                  <c:v>0.9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'Exploration-topp-temp-3d'!$A$5:$A$9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'Exploration-topp-temp-3d'!$B$5:$B$9</c:f>
              <c:numCache>
                <c:formatCode>General</c:formatCode>
                <c:ptCount val="4"/>
                <c:pt idx="0">
                  <c:v>3.125E-2</c:v>
                </c:pt>
                <c:pt idx="1">
                  <c:v>0.22916666666666666</c:v>
                </c:pt>
                <c:pt idx="2">
                  <c:v>0.375</c:v>
                </c:pt>
                <c:pt idx="3">
                  <c:v>0.57291666666666663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1-40BC-9F38-2EACE1D9EA01}"/>
            </c:ext>
          </c:extLst>
        </c:ser>
        <c:ser>
          <c:idx val="1"/>
          <c:order val="1"/>
          <c:tx>
            <c:strRef>
              <c:f>'Exploration-topp-temp-3d'!$C$3:$C$4</c:f>
              <c:strCache>
                <c:ptCount val="1"/>
                <c:pt idx="0">
                  <c:v>0.95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'Exploration-topp-temp-3d'!$A$5:$A$9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'Exploration-topp-temp-3d'!$C$5:$C$9</c:f>
              <c:numCache>
                <c:formatCode>General</c:formatCode>
                <c:ptCount val="4"/>
                <c:pt idx="0">
                  <c:v>0</c:v>
                </c:pt>
                <c:pt idx="1">
                  <c:v>4.6875E-2</c:v>
                </c:pt>
                <c:pt idx="2">
                  <c:v>0.22916666666666666</c:v>
                </c:pt>
                <c:pt idx="3">
                  <c:v>0.64583333333333337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71-40BC-9F38-2EACE1D9EA01}"/>
            </c:ext>
          </c:extLst>
        </c:ser>
        <c:ser>
          <c:idx val="2"/>
          <c:order val="2"/>
          <c:tx>
            <c:strRef>
              <c:f>'Exploration-topp-temp-3d'!$D$3:$D$4</c:f>
              <c:strCache>
                <c:ptCount val="1"/>
                <c:pt idx="0">
                  <c:v>0.98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'Exploration-topp-temp-3d'!$A$5:$A$9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'Exploration-topp-temp-3d'!$D$5:$D$9</c:f>
              <c:numCache>
                <c:formatCode>General</c:formatCode>
                <c:ptCount val="4"/>
                <c:pt idx="0">
                  <c:v>0.10416666666666667</c:v>
                </c:pt>
                <c:pt idx="1">
                  <c:v>0.23958333333333334</c:v>
                </c:pt>
                <c:pt idx="2">
                  <c:v>0.46875</c:v>
                </c:pt>
                <c:pt idx="3">
                  <c:v>0.70833333333333337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71-40BC-9F38-2EACE1D9E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988864"/>
        <c:axId val="1237989344"/>
      </c:lineChart>
      <c:catAx>
        <c:axId val="12379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89344"/>
        <c:crosses val="autoZero"/>
        <c:auto val="1"/>
        <c:lblAlgn val="ctr"/>
        <c:lblOffset val="100"/>
        <c:noMultiLvlLbl val="0"/>
      </c:catAx>
      <c:valAx>
        <c:axId val="12379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[Aria Review No Hidden ^M Graphs.xlsx]Exploration-topp-temp-3d!PivotTable20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/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/>
          <a:effectLst/>
          <a:sp3d/>
        </c:spPr>
      </c:pivotFmt>
      <c:pivotFmt>
        <c:idx val="5"/>
        <c:spPr>
          <a:solidFill>
            <a:schemeClr val="accent2"/>
          </a:solidFill>
          <a:ln/>
          <a:effectLst/>
          <a:sp3d/>
        </c:spPr>
      </c:pivotFmt>
      <c:pivotFmt>
        <c:idx val="6"/>
        <c:spPr>
          <a:solidFill>
            <a:schemeClr val="accent3"/>
          </a:solidFill>
          <a:ln/>
          <a:effectLst/>
          <a:sp3d/>
        </c:spPr>
      </c:pivotFmt>
      <c:pivotFmt>
        <c:idx val="7"/>
        <c:spPr>
          <a:solidFill>
            <a:schemeClr val="accent4"/>
          </a:solidFill>
          <a:ln/>
          <a:effectLst/>
          <a:sp3d/>
        </c:spPr>
      </c:pivotFmt>
    </c:pivotFmts>
    <c:view3D>
      <c:rotX val="20"/>
      <c:rotY val="1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'Exploration-topp-temp-3d'!$B$3:$B$4</c:f>
              <c:strCache>
                <c:ptCount val="1"/>
                <c:pt idx="0">
                  <c:v>0.9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'Exploration-topp-temp-3d'!$A$5:$A$9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'Exploration-topp-temp-3d'!$B$5:$B$9</c:f>
              <c:numCache>
                <c:formatCode>General</c:formatCode>
                <c:ptCount val="4"/>
                <c:pt idx="0">
                  <c:v>3.125E-2</c:v>
                </c:pt>
                <c:pt idx="1">
                  <c:v>0.22916666666666666</c:v>
                </c:pt>
                <c:pt idx="2">
                  <c:v>0.375</c:v>
                </c:pt>
                <c:pt idx="3">
                  <c:v>0.57291666666666663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A-4AA0-8944-DD0FD9F930B5}"/>
            </c:ext>
          </c:extLst>
        </c:ser>
        <c:ser>
          <c:idx val="1"/>
          <c:order val="1"/>
          <c:tx>
            <c:strRef>
              <c:f>'Exploration-topp-temp-3d'!$C$3:$C$4</c:f>
              <c:strCache>
                <c:ptCount val="1"/>
                <c:pt idx="0">
                  <c:v>0.95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'Exploration-topp-temp-3d'!$A$5:$A$9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'Exploration-topp-temp-3d'!$C$5:$C$9</c:f>
              <c:numCache>
                <c:formatCode>General</c:formatCode>
                <c:ptCount val="4"/>
                <c:pt idx="0">
                  <c:v>0</c:v>
                </c:pt>
                <c:pt idx="1">
                  <c:v>4.6875E-2</c:v>
                </c:pt>
                <c:pt idx="2">
                  <c:v>0.22916666666666666</c:v>
                </c:pt>
                <c:pt idx="3">
                  <c:v>0.64583333333333337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A-4AA0-8944-DD0FD9F930B5}"/>
            </c:ext>
          </c:extLst>
        </c:ser>
        <c:ser>
          <c:idx val="2"/>
          <c:order val="2"/>
          <c:tx>
            <c:strRef>
              <c:f>'Exploration-topp-temp-3d'!$D$3:$D$4</c:f>
              <c:strCache>
                <c:ptCount val="1"/>
                <c:pt idx="0">
                  <c:v>0.98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'Exploration-topp-temp-3d'!$A$5:$A$9</c:f>
              <c:strCache>
                <c:ptCount val="4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</c:strCache>
            </c:strRef>
          </c:cat>
          <c:val>
            <c:numRef>
              <c:f>'Exploration-topp-temp-3d'!$D$5:$D$9</c:f>
              <c:numCache>
                <c:formatCode>General</c:formatCode>
                <c:ptCount val="4"/>
                <c:pt idx="0">
                  <c:v>0.10416666666666667</c:v>
                </c:pt>
                <c:pt idx="1">
                  <c:v>0.23958333333333334</c:v>
                </c:pt>
                <c:pt idx="2">
                  <c:v>0.46875</c:v>
                </c:pt>
                <c:pt idx="3">
                  <c:v>0.70833333333333337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6A-4AA0-8944-DD0FD9F930B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</c:bandFmts>
        <c:axId val="1293478176"/>
        <c:axId val="1293478656"/>
        <c:axId val="1289937664"/>
      </c:surface3DChart>
      <c:catAx>
        <c:axId val="129347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78656"/>
        <c:crosses val="autoZero"/>
        <c:auto val="1"/>
        <c:lblAlgn val="ctr"/>
        <c:lblOffset val="100"/>
        <c:noMultiLvlLbl val="0"/>
      </c:catAx>
      <c:valAx>
        <c:axId val="129347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78176"/>
        <c:crosses val="autoZero"/>
        <c:crossBetween val="midCat"/>
      </c:valAx>
      <c:serAx>
        <c:axId val="12899376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7865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0</xdr:row>
      <xdr:rowOff>129540</xdr:rowOff>
    </xdr:from>
    <xdr:to>
      <xdr:col>15</xdr:col>
      <xdr:colOff>236220</xdr:colOff>
      <xdr:row>15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C0B50-C64D-AB02-945B-85AFD16ED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585470</xdr:colOff>
      <xdr:row>16</xdr:row>
      <xdr:rowOff>43180</xdr:rowOff>
    </xdr:from>
    <xdr:to>
      <xdr:col>15</xdr:col>
      <xdr:colOff>280670</xdr:colOff>
      <xdr:row>31</xdr:row>
      <xdr:rowOff>43180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3BE737-5368-BECA-89DF-38C9FAF7C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1</xdr:row>
      <xdr:rowOff>0</xdr:rowOff>
    </xdr:from>
    <xdr:to>
      <xdr:col>18</xdr:col>
      <xdr:colOff>251460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F21AB-AEDF-E91B-6C9B-D88CE7307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3</xdr:row>
      <xdr:rowOff>83820</xdr:rowOff>
    </xdr:from>
    <xdr:to>
      <xdr:col>14</xdr:col>
      <xdr:colOff>236220</xdr:colOff>
      <xdr:row>18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54E8D-B2CD-9B65-B25F-A7FD09A8D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2</xdr:row>
      <xdr:rowOff>91440</xdr:rowOff>
    </xdr:from>
    <xdr:to>
      <xdr:col>15</xdr:col>
      <xdr:colOff>129540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CC1B4-ECBF-DFEB-A5D0-4B7B187E9C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504362</xdr:colOff>
      <xdr:row>11</xdr:row>
      <xdr:rowOff>139425</xdr:rowOff>
    </xdr:from>
    <xdr:to>
      <xdr:col>6</xdr:col>
      <xdr:colOff>361653</xdr:colOff>
      <xdr:row>30</xdr:row>
      <xdr:rowOff>66811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DD6DF7-8FD6-467C-B255-292C22804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3</xdr:row>
      <xdr:rowOff>22860</xdr:rowOff>
    </xdr:from>
    <xdr:to>
      <xdr:col>18</xdr:col>
      <xdr:colOff>350520</xdr:colOff>
      <xdr:row>28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A2D9FC-4688-7D2F-B755-052FCCD71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0</xdr:row>
      <xdr:rowOff>68580</xdr:rowOff>
    </xdr:from>
    <xdr:to>
      <xdr:col>13</xdr:col>
      <xdr:colOff>434340</xdr:colOff>
      <xdr:row>14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4B7615-12DE-8C4E-F980-5D268AA3B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137160</xdr:colOff>
      <xdr:row>11</xdr:row>
      <xdr:rowOff>160020</xdr:rowOff>
    </xdr:from>
    <xdr:to>
      <xdr:col>5</xdr:col>
      <xdr:colOff>182880</xdr:colOff>
      <xdr:row>26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CD575E-7415-CFA2-59C0-F02B241BA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Haber" refreshedDate="46069.785284953701" createdVersion="8" refreshedVersion="8" minRefreshableVersion="3" recordCount="70" xr:uid="{395789E4-CC39-492E-A248-AE460CA10076}">
  <cacheSource type="worksheet">
    <worksheetSource ref="A2:O72" sheet="Data"/>
  </cacheSource>
  <cacheFields count="15">
    <cacheField name="File Name" numFmtId="2">
      <sharedItems containsBlank="1"/>
    </cacheField>
    <cacheField name="Specifics" numFmtId="2">
      <sharedItems containsBlank="1"/>
    </cacheField>
    <cacheField name="(Temperature, Top_ps,Min_ps)" numFmtId="2">
      <sharedItems containsBlank="1"/>
    </cacheField>
    <cacheField name="Rhythm Norm" numFmtId="2">
      <sharedItems containsString="0" containsBlank="1" containsNumber="1" minValue="0.25" maxValue="1"/>
    </cacheField>
    <cacheField name="Musicality Norm" numFmtId="2">
      <sharedItems containsString="0" containsBlank="1" containsNumber="1" minValue="-0.25" maxValue="1"/>
    </cacheField>
    <cacheField name="Repetition Norm" numFmtId="2">
      <sharedItems containsString="0" containsBlank="1" containsNumber="1" minValue="0" maxValue="1"/>
    </cacheField>
    <cacheField name="Pitch Variation Norm" numFmtId="2">
      <sharedItems containsString="0" containsBlank="1" containsNumber="1" minValue="0" maxValue="1"/>
    </cacheField>
    <cacheField name="Random Norm" numFmtId="2">
      <sharedItems containsString="0" containsBlank="1" containsNumber="1" minValue="0" maxValue="1.25"/>
    </cacheField>
    <cacheField name="Stability" numFmtId="2">
      <sharedItems containsString="0" containsBlank="1" containsNumber="1" minValue="0.125" maxValue="1"/>
    </cacheField>
    <cacheField name="Exploration" numFmtId="2">
      <sharedItems containsString="0" containsBlank="1" containsNumber="1" minValue="0" maxValue="1.125"/>
    </cacheField>
    <cacheField name="Experimental" numFmtId="2">
      <sharedItems containsString="0" containsBlank="1" containsNumber="1" minValue="0" maxValue="0.58333333333333326"/>
    </cacheField>
    <cacheField name="Comments" numFmtId="2">
      <sharedItems containsBlank="1"/>
    </cacheField>
    <cacheField name="temperature" numFmtId="2">
      <sharedItems containsString="0" containsBlank="1" containsNumber="1" minValue="0.6" maxValue="1.2" count="5">
        <m/>
        <n v="0.6"/>
        <n v="0.8"/>
        <n v="1"/>
        <n v="1.2"/>
      </sharedItems>
    </cacheField>
    <cacheField name="Min_p" numFmtId="2">
      <sharedItems containsString="0" containsBlank="1" containsNumber="1" minValue="0" maxValue="0.06" count="5">
        <m/>
        <n v="0"/>
        <n v="0.02"/>
        <n v="0.04"/>
        <n v="0.06"/>
      </sharedItems>
    </cacheField>
    <cacheField name="Top_p" numFmtId="2">
      <sharedItems containsString="0" containsBlank="1" containsNumber="1" minValue="0.9" maxValue="0.98" count="4">
        <m/>
        <n v="0.9"/>
        <n v="0.95"/>
        <n v="0.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12barblues"/>
    <s v="blues"/>
    <m/>
    <m/>
    <m/>
    <m/>
    <m/>
    <m/>
    <m/>
    <m/>
    <m/>
    <m/>
    <x v="0"/>
    <x v="0"/>
    <x v="0"/>
  </r>
  <r>
    <m/>
    <m/>
    <s v="(0.6,0.9,0)"/>
    <n v="1"/>
    <n v="0.25"/>
    <n v="1"/>
    <n v="0"/>
    <n v="0"/>
    <n v="1"/>
    <n v="0"/>
    <n v="0"/>
    <s v="it did a classic jazz pattern but repeted it all the time"/>
    <x v="1"/>
    <x v="1"/>
    <x v="1"/>
  </r>
  <r>
    <m/>
    <m/>
    <s v="(0.6,0.9,0.02)"/>
    <n v="1"/>
    <n v="0.25"/>
    <n v="1"/>
    <n v="0"/>
    <n v="0"/>
    <n v="1"/>
    <n v="0"/>
    <n v="0"/>
    <m/>
    <x v="1"/>
    <x v="2"/>
    <x v="1"/>
  </r>
  <r>
    <m/>
    <m/>
    <s v="(0.6,0.9,0.04)"/>
    <n v="1"/>
    <n v="0.5"/>
    <n v="0.75"/>
    <n v="0.125"/>
    <n v="0"/>
    <n v="0.875"/>
    <n v="6.25E-2"/>
    <n v="2.6041666666666664E-2"/>
    <m/>
    <x v="1"/>
    <x v="3"/>
    <x v="1"/>
  </r>
  <r>
    <m/>
    <m/>
    <s v="(0.6,0.9,0.06)"/>
    <n v="1"/>
    <n v="0.25"/>
    <n v="1"/>
    <n v="0"/>
    <n v="0"/>
    <n v="1"/>
    <n v="0"/>
    <n v="0"/>
    <m/>
    <x v="1"/>
    <x v="4"/>
    <x v="1"/>
  </r>
  <r>
    <m/>
    <m/>
    <s v="(0.6,0.95,0)"/>
    <n v="1"/>
    <n v="0"/>
    <n v="1"/>
    <n v="0"/>
    <n v="0"/>
    <n v="1"/>
    <n v="0"/>
    <n v="0"/>
    <m/>
    <x v="1"/>
    <x v="1"/>
    <x v="2"/>
  </r>
  <r>
    <m/>
    <m/>
    <s v="(0.6,0.95,0.02)"/>
    <n v="1"/>
    <n v="0"/>
    <n v="1"/>
    <n v="0"/>
    <n v="0"/>
    <n v="1"/>
    <n v="0"/>
    <n v="0"/>
    <m/>
    <x v="1"/>
    <x v="2"/>
    <x v="2"/>
  </r>
  <r>
    <m/>
    <m/>
    <s v="(0.6,0.95,0.04)"/>
    <n v="1"/>
    <n v="0.25"/>
    <n v="0.75"/>
    <n v="0"/>
    <n v="0"/>
    <n v="0.875"/>
    <n v="0"/>
    <n v="0"/>
    <m/>
    <x v="1"/>
    <x v="3"/>
    <x v="2"/>
  </r>
  <r>
    <m/>
    <m/>
    <s v="(0.6,0.95,0.06)"/>
    <n v="1"/>
    <n v="0.25"/>
    <n v="1"/>
    <n v="0"/>
    <n v="0"/>
    <n v="1"/>
    <n v="0"/>
    <n v="0"/>
    <m/>
    <x v="1"/>
    <x v="4"/>
    <x v="2"/>
  </r>
  <r>
    <m/>
    <m/>
    <s v="(0.6,0.98,0)"/>
    <n v="1"/>
    <n v="0.25"/>
    <n v="1"/>
    <n v="0"/>
    <n v="0"/>
    <n v="1"/>
    <n v="0"/>
    <n v="0"/>
    <m/>
    <x v="1"/>
    <x v="1"/>
    <x v="3"/>
  </r>
  <r>
    <m/>
    <m/>
    <s v="(0.6,0.98,0.02)"/>
    <n v="1"/>
    <n v="0.5"/>
    <n v="0.75"/>
    <n v="0"/>
    <n v="0"/>
    <n v="0.875"/>
    <n v="0"/>
    <n v="0"/>
    <m/>
    <x v="1"/>
    <x v="2"/>
    <x v="3"/>
  </r>
  <r>
    <m/>
    <m/>
    <s v="(0.6,0.98,0.04)"/>
    <n v="1"/>
    <n v="0.5"/>
    <n v="0.75"/>
    <n v="0.25"/>
    <n v="0"/>
    <n v="0.875"/>
    <n v="0.125"/>
    <n v="5.2083333333333329E-2"/>
    <s v="new lick"/>
    <x v="1"/>
    <x v="3"/>
    <x v="3"/>
  </r>
  <r>
    <m/>
    <m/>
    <s v="(0.6,0.98,0.06)"/>
    <n v="1"/>
    <n v="0.5"/>
    <n v="0.75"/>
    <n v="0.25"/>
    <n v="0"/>
    <n v="0.875"/>
    <n v="0.125"/>
    <n v="5.2083333333333329E-2"/>
    <m/>
    <x v="1"/>
    <x v="4"/>
    <x v="3"/>
  </r>
  <r>
    <m/>
    <m/>
    <s v="(0.8,0.9,0)"/>
    <n v="1"/>
    <n v="0.5"/>
    <n v="1"/>
    <n v="0.125"/>
    <n v="0"/>
    <n v="1"/>
    <n v="6.25E-2"/>
    <n v="3.125E-2"/>
    <m/>
    <x v="2"/>
    <x v="1"/>
    <x v="1"/>
  </r>
  <r>
    <m/>
    <m/>
    <s v="(0.8,0.9,0.02)"/>
    <n v="1"/>
    <n v="0.625"/>
    <n v="0.5"/>
    <n v="0.125"/>
    <n v="0"/>
    <n v="0.75"/>
    <n v="6.25E-2"/>
    <n v="1.8229166666666664E-2"/>
    <s v="nice"/>
    <x v="2"/>
    <x v="2"/>
    <x v="1"/>
  </r>
  <r>
    <m/>
    <m/>
    <s v="(0.8,0.9,0.04)"/>
    <n v="1"/>
    <n v="0.625"/>
    <n v="0.5"/>
    <n v="0"/>
    <n v="0.25"/>
    <n v="0.75"/>
    <n v="0.125"/>
    <n v="3.6458333333333329E-2"/>
    <s v="scale change (goood?????)"/>
    <x v="2"/>
    <x v="3"/>
    <x v="1"/>
  </r>
  <r>
    <m/>
    <m/>
    <s v="(0.8,0.9,0.06)"/>
    <n v="1"/>
    <n v="0.375"/>
    <n v="0.75"/>
    <n v="0"/>
    <n v="0"/>
    <n v="0.875"/>
    <n v="0"/>
    <n v="0"/>
    <m/>
    <x v="2"/>
    <x v="4"/>
    <x v="1"/>
  </r>
  <r>
    <m/>
    <m/>
    <s v="(0.8,0.95,0)"/>
    <n v="1"/>
    <n v="0"/>
    <n v="1"/>
    <n v="0"/>
    <n v="0"/>
    <n v="1"/>
    <n v="0"/>
    <n v="0"/>
    <m/>
    <x v="2"/>
    <x v="1"/>
    <x v="2"/>
  </r>
  <r>
    <m/>
    <m/>
    <s v="(0.8,0.95,0.02)"/>
    <n v="1"/>
    <n v="0.5"/>
    <n v="0.625"/>
    <n v="0"/>
    <n v="0.125"/>
    <n v="0.8125"/>
    <n v="6.25E-2"/>
    <n v="2.34375E-2"/>
    <m/>
    <x v="2"/>
    <x v="2"/>
    <x v="2"/>
  </r>
  <r>
    <m/>
    <m/>
    <s v="(0.8,0.95,0.04)"/>
    <n v="1"/>
    <n v="0.5"/>
    <n v="0.625"/>
    <n v="0"/>
    <n v="0.125"/>
    <n v="0.8125"/>
    <n v="6.25E-2"/>
    <n v="2.34375E-2"/>
    <m/>
    <x v="2"/>
    <x v="3"/>
    <x v="2"/>
  </r>
  <r>
    <m/>
    <m/>
    <s v="(0.8,0.95,0.06)"/>
    <n v="1"/>
    <n v="0.625"/>
    <n v="0.75"/>
    <n v="0"/>
    <n v="0.125"/>
    <n v="0.875"/>
    <n v="6.25E-2"/>
    <n v="2.34375E-2"/>
    <s v="chords new"/>
    <x v="2"/>
    <x v="4"/>
    <x v="2"/>
  </r>
  <r>
    <m/>
    <m/>
    <s v="(0.8,0.98,0)"/>
    <n v="1"/>
    <n v="0.625"/>
    <n v="0.5"/>
    <n v="0.125"/>
    <n v="0.25"/>
    <n v="0.75"/>
    <n v="0.1875"/>
    <n v="5.4687499999999993E-2"/>
    <s v="improv across scale"/>
    <x v="2"/>
    <x v="1"/>
    <x v="3"/>
  </r>
  <r>
    <m/>
    <m/>
    <s v="(0.8,0.98,0.02)"/>
    <n v="1"/>
    <n v="0.625"/>
    <n v="0.625"/>
    <n v="0.125"/>
    <n v="0.125"/>
    <n v="0.8125"/>
    <n v="0.125"/>
    <n v="4.1666666666666671E-2"/>
    <s v="improv on chords"/>
    <x v="2"/>
    <x v="2"/>
    <x v="3"/>
  </r>
  <r>
    <m/>
    <m/>
    <s v="(0.8,0.98,0.04)"/>
    <n v="1"/>
    <n v="0.125"/>
    <n v="1"/>
    <n v="0"/>
    <n v="0"/>
    <n v="1"/>
    <n v="0"/>
    <n v="0"/>
    <m/>
    <x v="2"/>
    <x v="3"/>
    <x v="3"/>
  </r>
  <r>
    <m/>
    <m/>
    <s v="(0.8,0.98,0.06)"/>
    <n v="1"/>
    <n v="0.5"/>
    <n v="0.75"/>
    <n v="0"/>
    <n v="0.125"/>
    <n v="0.875"/>
    <n v="6.25E-2"/>
    <n v="2.6041666666666664E-2"/>
    <m/>
    <x v="2"/>
    <x v="4"/>
    <x v="3"/>
  </r>
  <r>
    <m/>
    <m/>
    <s v="(1,0.9,0)"/>
    <n v="1"/>
    <n v="0.75"/>
    <n v="0.5"/>
    <n v="0"/>
    <n v="0.25"/>
    <n v="0.75"/>
    <n v="0.125"/>
    <n v="3.125E-2"/>
    <s v="scale changes and then back to the original scale"/>
    <x v="3"/>
    <x v="1"/>
    <x v="1"/>
  </r>
  <r>
    <m/>
    <m/>
    <s v="(1,0.9,0.02)"/>
    <n v="1"/>
    <n v="0.625"/>
    <n v="0.5"/>
    <n v="0.125"/>
    <n v="0.25"/>
    <n v="0.75"/>
    <n v="0.1875"/>
    <n v="5.4687499999999993E-2"/>
    <s v="new licks + chromatism"/>
    <x v="3"/>
    <x v="2"/>
    <x v="1"/>
  </r>
  <r>
    <m/>
    <m/>
    <s v="(1,0.9,0.04)"/>
    <n v="1"/>
    <n v="0.5"/>
    <n v="0.5"/>
    <n v="0.125"/>
    <n v="0.25"/>
    <n v="0.75"/>
    <n v="0.1875"/>
    <n v="6.25E-2"/>
    <s v="went to g major"/>
    <x v="3"/>
    <x v="3"/>
    <x v="1"/>
  </r>
  <r>
    <m/>
    <m/>
    <s v="(1,0.9,0.06)"/>
    <n v="1"/>
    <n v="0.5"/>
    <n v="0.75"/>
    <n v="0.125"/>
    <n v="0.25"/>
    <n v="0.875"/>
    <n v="0.1875"/>
    <n v="7.8125E-2"/>
    <s v="pentatonic scale focus"/>
    <x v="3"/>
    <x v="4"/>
    <x v="1"/>
  </r>
  <r>
    <m/>
    <m/>
    <s v="(1,0.95,0)"/>
    <n v="0.875"/>
    <n v="0.375"/>
    <n v="1"/>
    <n v="0"/>
    <n v="0.125"/>
    <n v="0.9375"/>
    <n v="6.25E-2"/>
    <n v="3.6458333333333329E-2"/>
    <m/>
    <x v="3"/>
    <x v="1"/>
    <x v="2"/>
  </r>
  <r>
    <m/>
    <m/>
    <s v="(1,0.95,0.04)"/>
    <n v="0.75"/>
    <n v="0.375"/>
    <n v="0.25"/>
    <n v="0.375"/>
    <n v="0.375"/>
    <n v="0.5"/>
    <n v="0.375"/>
    <n v="0.140625"/>
    <s v="very good bluesy, it got the assignment, but flopped at some parts"/>
    <x v="3"/>
    <x v="3"/>
    <x v="2"/>
  </r>
  <r>
    <m/>
    <m/>
    <s v="(1,0.95,0.06)"/>
    <n v="1"/>
    <n v="0.5"/>
    <n v="0.25"/>
    <n v="0.125"/>
    <n v="0.375"/>
    <n v="0.625"/>
    <n v="0.25"/>
    <n v="6.25E-2"/>
    <s v="also good, did the correct blues repetition, but in terms of improv not that good"/>
    <x v="3"/>
    <x v="4"/>
    <x v="2"/>
  </r>
  <r>
    <m/>
    <m/>
    <s v="(1,0.98,0)"/>
    <n v="1"/>
    <n v="0.375"/>
    <n v="0.5"/>
    <n v="0"/>
    <n v="0.125"/>
    <n v="0.75"/>
    <n v="6.25E-2"/>
    <n v="2.34375E-2"/>
    <m/>
    <x v="3"/>
    <x v="1"/>
    <x v="3"/>
  </r>
  <r>
    <m/>
    <m/>
    <s v="(1,0.98,0.06)"/>
    <n v="1"/>
    <n v="0.5"/>
    <n v="0.25"/>
    <n v="0.375"/>
    <n v="0.75"/>
    <n v="0.625"/>
    <n v="0.5625"/>
    <n v="0.140625"/>
    <s v="very good but at the end it started doing smajor scales"/>
    <x v="3"/>
    <x v="4"/>
    <x v="3"/>
  </r>
  <r>
    <m/>
    <m/>
    <s v="(1.2,0.9,0)"/>
    <n v="1"/>
    <n v="0.5"/>
    <n v="0.375"/>
    <n v="0.125"/>
    <n v="0.375"/>
    <n v="0.6875"/>
    <n v="0.25"/>
    <n v="7.2916666666666657E-2"/>
    <m/>
    <x v="4"/>
    <x v="1"/>
    <x v="1"/>
  </r>
  <r>
    <m/>
    <m/>
    <s v="(1.2,0.9,0.06)"/>
    <n v="1"/>
    <n v="0.25"/>
    <n v="0.75"/>
    <n v="0.25"/>
    <n v="0.25"/>
    <n v="0.875"/>
    <n v="0.25"/>
    <n v="0.125"/>
    <m/>
    <x v="4"/>
    <x v="4"/>
    <x v="1"/>
  </r>
  <r>
    <m/>
    <m/>
    <s v="(1.2,0.95,0)"/>
    <n v="1"/>
    <n v="1"/>
    <n v="0"/>
    <n v="0.5"/>
    <n v="1"/>
    <n v="0.5"/>
    <n v="0.75"/>
    <n v="0"/>
    <s v="wow"/>
    <x v="4"/>
    <x v="1"/>
    <x v="2"/>
  </r>
  <r>
    <m/>
    <m/>
    <s v="(1.2,0.95,0.06)"/>
    <n v="1"/>
    <n v="0.5"/>
    <n v="0.75"/>
    <n v="0.125"/>
    <n v="0.25"/>
    <n v="0.875"/>
    <n v="0.1875"/>
    <n v="7.8125E-2"/>
    <m/>
    <x v="4"/>
    <x v="4"/>
    <x v="2"/>
  </r>
  <r>
    <m/>
    <m/>
    <s v="(1.2,0.98,0)"/>
    <n v="0.75"/>
    <n v="0.875"/>
    <n v="0"/>
    <n v="0.375"/>
    <n v="1"/>
    <n v="0.375"/>
    <n v="0.6875"/>
    <n v="8.59375E-2"/>
    <s v="nice at some parts"/>
    <x v="4"/>
    <x v="1"/>
    <x v="3"/>
  </r>
  <r>
    <m/>
    <m/>
    <s v="(1.2,0.98,0.06)"/>
    <n v="1"/>
    <n v="0.75"/>
    <n v="0.25"/>
    <n v="0.25"/>
    <n v="0.75"/>
    <n v="0.625"/>
    <n v="0.5"/>
    <n v="8.3333333333333315E-2"/>
    <s v="did a nice progression but then went off topic and repeated but then did a nice ending"/>
    <x v="4"/>
    <x v="4"/>
    <x v="3"/>
  </r>
  <r>
    <s v="bad piggies"/>
    <s v="minor, left hand jumps and fast"/>
    <m/>
    <m/>
    <m/>
    <m/>
    <m/>
    <m/>
    <m/>
    <m/>
    <m/>
    <m/>
    <x v="0"/>
    <x v="0"/>
    <x v="0"/>
  </r>
  <r>
    <m/>
    <m/>
    <s v="(0.6,0.9,0)"/>
    <n v="1"/>
    <n v="0"/>
    <n v="1"/>
    <n v="0"/>
    <n v="0"/>
    <n v="1"/>
    <n v="0"/>
    <n v="0"/>
    <m/>
    <x v="1"/>
    <x v="1"/>
    <x v="1"/>
  </r>
  <r>
    <m/>
    <m/>
    <s v="(0.6,0.9,0.06)"/>
    <n v="1"/>
    <n v="0"/>
    <n v="1"/>
    <n v="0.25"/>
    <n v="0"/>
    <n v="1"/>
    <n v="0.125"/>
    <n v="8.3333333333333343E-2"/>
    <s v="played the same thing octave lower"/>
    <x v="1"/>
    <x v="4"/>
    <x v="1"/>
  </r>
  <r>
    <m/>
    <m/>
    <s v="(0.6,0.98,0)"/>
    <n v="1"/>
    <n v="-0.25"/>
    <n v="1"/>
    <n v="0"/>
    <n v="0"/>
    <n v="1"/>
    <n v="0"/>
    <n v="0"/>
    <s v="played the same"/>
    <x v="1"/>
    <x v="1"/>
    <x v="3"/>
  </r>
  <r>
    <m/>
    <m/>
    <s v="(0.6,0.98,0.06)"/>
    <n v="1"/>
    <n v="0.75"/>
    <n v="0.5"/>
    <n v="0.25"/>
    <n v="0.5"/>
    <n v="0.75"/>
    <n v="0.375"/>
    <n v="9.375E-2"/>
    <s v="noteworthy"/>
    <x v="1"/>
    <x v="4"/>
    <x v="3"/>
  </r>
  <r>
    <m/>
    <m/>
    <s v="(1,0.9,0)"/>
    <n v="1"/>
    <n v="0.75"/>
    <n v="0.25"/>
    <n v="0.25"/>
    <n v="0.75"/>
    <n v="0.625"/>
    <n v="0.5"/>
    <n v="8.3333333333333315E-2"/>
    <s v="nice"/>
    <x v="3"/>
    <x v="1"/>
    <x v="1"/>
  </r>
  <r>
    <m/>
    <m/>
    <s v="(1,0.9,0.06)"/>
    <n v="1"/>
    <n v="0.625"/>
    <n v="0.25"/>
    <n v="0.5"/>
    <n v="0.875"/>
    <n v="0.625"/>
    <n v="0.6875"/>
    <n v="0.14322916666666669"/>
    <s v="nice , it knew how to diveate and go back in tempo to the original song with octaves added"/>
    <x v="3"/>
    <x v="4"/>
    <x v="1"/>
  </r>
  <r>
    <m/>
    <m/>
    <s v="(1,0.98,0)"/>
    <n v="0.625"/>
    <n v="0.5"/>
    <n v="0.5"/>
    <n v="0.375"/>
    <n v="0.5"/>
    <n v="0.5625"/>
    <n v="0.4375"/>
    <n v="0.20052083333333334"/>
    <m/>
    <x v="3"/>
    <x v="1"/>
    <x v="3"/>
  </r>
  <r>
    <m/>
    <m/>
    <s v="(1,0.98,0.06)"/>
    <n v="1"/>
    <n v="0.625"/>
    <n v="0.44999999999999996"/>
    <n v="0.375"/>
    <n v="0.625"/>
    <n v="0.72499999999999998"/>
    <n v="0.5"/>
    <n v="0.13750000000000001"/>
    <m/>
    <x v="3"/>
    <x v="4"/>
    <x v="3"/>
  </r>
  <r>
    <m/>
    <m/>
    <s v="(1.2,0.9,0)"/>
    <n v="0.875"/>
    <n v="0.75"/>
    <n v="0.5"/>
    <n v="0.5"/>
    <n v="0.75"/>
    <n v="0.6875"/>
    <n v="0.625"/>
    <n v="0.18229166666666663"/>
    <s v="took the song to something else, made its new part"/>
    <x v="4"/>
    <x v="1"/>
    <x v="1"/>
  </r>
  <r>
    <m/>
    <m/>
    <s v="(1.2,0.9,0.06)"/>
    <n v="0.92500000000000004"/>
    <n v="0.5"/>
    <n v="0.5"/>
    <n v="0.25"/>
    <n v="0.75"/>
    <n v="0.71250000000000002"/>
    <n v="0.5"/>
    <n v="0.17916666666666664"/>
    <m/>
    <x v="4"/>
    <x v="4"/>
    <x v="1"/>
  </r>
  <r>
    <m/>
    <m/>
    <s v="(1.2,0.95,0)"/>
    <n v="1"/>
    <n v="0.5"/>
    <n v="0.5"/>
    <n v="0.5"/>
    <n v="0.875"/>
    <n v="0.75"/>
    <n v="0.6875"/>
    <n v="0.22916666666666669"/>
    <m/>
    <x v="4"/>
    <x v="1"/>
    <x v="2"/>
  </r>
  <r>
    <m/>
    <m/>
    <s v="(1.2,0.95,0.06)"/>
    <n v="0.92500000000000004"/>
    <n v="0.375"/>
    <n v="0.625"/>
    <n v="0.25"/>
    <n v="0.5"/>
    <n v="0.77500000000000002"/>
    <n v="0.375"/>
    <n v="0.16562499999999999"/>
    <m/>
    <x v="4"/>
    <x v="4"/>
    <x v="2"/>
  </r>
  <r>
    <m/>
    <m/>
    <s v="(1.2,0.98,0)"/>
    <n v="0.25"/>
    <n v="0"/>
    <n v="0"/>
    <n v="0.75"/>
    <n v="1.25"/>
    <n v="0.125"/>
    <n v="1"/>
    <n v="0.58333333333333326"/>
    <s v="random"/>
    <x v="4"/>
    <x v="1"/>
    <x v="3"/>
  </r>
  <r>
    <m/>
    <m/>
    <s v="(1.2,0.98,0.06)"/>
    <n v="1"/>
    <n v="0.625"/>
    <n v="0.25"/>
    <n v="0.375"/>
    <n v="1"/>
    <n v="0.625"/>
    <n v="0.6875"/>
    <n v="0.14322916666666669"/>
    <m/>
    <x v="4"/>
    <x v="4"/>
    <x v="3"/>
  </r>
  <r>
    <s v="folk"/>
    <s v="folk"/>
    <m/>
    <m/>
    <m/>
    <m/>
    <m/>
    <m/>
    <m/>
    <m/>
    <m/>
    <m/>
    <x v="0"/>
    <x v="0"/>
    <x v="0"/>
  </r>
  <r>
    <m/>
    <m/>
    <s v="(0.8,0.9,0)"/>
    <n v="0.5"/>
    <n v="0.5"/>
    <n v="0.375"/>
    <n v="0.5"/>
    <n v="0.75"/>
    <n v="0.4375"/>
    <n v="0.625"/>
    <n v="0.28645833333333337"/>
    <s v="bad then good"/>
    <x v="2"/>
    <x v="1"/>
    <x v="1"/>
  </r>
  <r>
    <m/>
    <m/>
    <s v="(0.8,0.9,0.06)"/>
    <n v="1"/>
    <n v="0.5"/>
    <n v="0.5"/>
    <n v="0.25"/>
    <n v="0.75"/>
    <n v="0.75"/>
    <n v="0.5"/>
    <n v="0.16666666666666669"/>
    <s v="not bad"/>
    <x v="2"/>
    <x v="4"/>
    <x v="1"/>
  </r>
  <r>
    <m/>
    <m/>
    <s v="(0.8,0.98,0)"/>
    <n v="0.875"/>
    <n v="0.5"/>
    <n v="0.625"/>
    <n v="0"/>
    <n v="0.625"/>
    <n v="0.75"/>
    <n v="0.3125"/>
    <n v="0.13020833333333331"/>
    <m/>
    <x v="2"/>
    <x v="1"/>
    <x v="3"/>
  </r>
  <r>
    <m/>
    <m/>
    <s v="(0.8,0.98,0.06)"/>
    <n v="0.75"/>
    <n v="0.75"/>
    <n v="0.375"/>
    <n v="0.5"/>
    <n v="1"/>
    <n v="0.5625"/>
    <n v="0.75"/>
    <n v="0.21874999999999997"/>
    <m/>
    <x v="2"/>
    <x v="4"/>
    <x v="3"/>
  </r>
  <r>
    <m/>
    <m/>
    <s v="(1,0.9,0)"/>
    <n v="0.75"/>
    <n v="0.75"/>
    <n v="0.25"/>
    <n v="0.125"/>
    <n v="0.875"/>
    <n v="0.5"/>
    <n v="0.5"/>
    <n v="0.125"/>
    <m/>
    <x v="3"/>
    <x v="1"/>
    <x v="1"/>
  </r>
  <r>
    <m/>
    <m/>
    <s v="(1,0.9,0.06)"/>
    <n v="0.75"/>
    <n v="0.625"/>
    <n v="0.5"/>
    <n v="0.5"/>
    <n v="0.75"/>
    <n v="0.625"/>
    <n v="0.625"/>
    <n v="0.234375"/>
    <m/>
    <x v="3"/>
    <x v="4"/>
    <x v="1"/>
  </r>
  <r>
    <m/>
    <m/>
    <s v="(1,0.98,0)"/>
    <n v="0.92500000000000004"/>
    <n v="0.75"/>
    <n v="0.25"/>
    <n v="0.375"/>
    <n v="1"/>
    <n v="0.58750000000000002"/>
    <n v="0.6875"/>
    <n v="0.13177083333333339"/>
    <m/>
    <x v="3"/>
    <x v="1"/>
    <x v="3"/>
  </r>
  <r>
    <m/>
    <m/>
    <s v="(1,0.98,0.06)"/>
    <n v="0.875"/>
    <n v="0.75"/>
    <n v="0.375"/>
    <n v="0.375"/>
    <n v="0.75"/>
    <n v="0.625"/>
    <n v="0.5625"/>
    <n v="0.140625"/>
    <m/>
    <x v="3"/>
    <x v="4"/>
    <x v="3"/>
  </r>
  <r>
    <m/>
    <m/>
    <s v="(1.2,0.9,0)"/>
    <n v="0.75"/>
    <n v="0.5"/>
    <n v="0"/>
    <n v="1"/>
    <n v="1.125"/>
    <n v="0.375"/>
    <n v="1.0625"/>
    <n v="0.265625"/>
    <m/>
    <x v="4"/>
    <x v="1"/>
    <x v="1"/>
  </r>
  <r>
    <m/>
    <m/>
    <s v="(1.2,0.9,0.06)"/>
    <n v="0.625"/>
    <n v="0.625"/>
    <n v="0.375"/>
    <n v="0.5"/>
    <n v="1"/>
    <n v="0.5"/>
    <n v="0.75"/>
    <n v="0.28125"/>
    <m/>
    <x v="4"/>
    <x v="4"/>
    <x v="1"/>
  </r>
  <r>
    <m/>
    <m/>
    <s v="(1.2,0.95,0)"/>
    <n v="0.25"/>
    <n v="0.25"/>
    <n v="0"/>
    <n v="1"/>
    <n v="1.25"/>
    <n v="0.125"/>
    <n v="1.125"/>
    <n v="0.5625"/>
    <s v="bad"/>
    <x v="4"/>
    <x v="1"/>
    <x v="2"/>
  </r>
  <r>
    <m/>
    <m/>
    <s v="(1.2,0.95,0.06)"/>
    <n v="0.875"/>
    <n v="0.75"/>
    <n v="0.75"/>
    <n v="0.5"/>
    <n v="1"/>
    <n v="0.8125"/>
    <n v="0.75"/>
    <n v="0.28125"/>
    <s v="nice"/>
    <x v="4"/>
    <x v="4"/>
    <x v="2"/>
  </r>
  <r>
    <m/>
    <m/>
    <s v="(1.2,0.98,0)"/>
    <n v="0.75"/>
    <n v="0.5"/>
    <n v="0.5"/>
    <n v="0.75"/>
    <n v="1"/>
    <n v="0.625"/>
    <n v="0.875"/>
    <n v="0.36458333333333331"/>
    <s v="nice then bad"/>
    <x v="4"/>
    <x v="1"/>
    <x v="3"/>
  </r>
  <r>
    <m/>
    <m/>
    <s v="(1.2,0.98,0.06)"/>
    <n v="1"/>
    <n v="0.75"/>
    <n v="0.25"/>
    <n v="0.25"/>
    <n v="0.75"/>
    <n v="0.625"/>
    <n v="0.5"/>
    <n v="8.3333333333333315E-2"/>
    <s v="nice, improved and then came back home"/>
    <x v="4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0AC8B-660D-41B7-BF63-338AAC6F47D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2:F18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6">
        <item x="1"/>
        <item x="2"/>
        <item x="3"/>
        <item x="4"/>
        <item h="1" x="0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tability" fld="8" subtotal="average" baseField="0" baseItem="0"/>
  </dataFields>
  <chartFormats count="8">
    <chartFormat chart="0" format="13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0" format="16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4EA4F-3248-4E84-827B-4F36179337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9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axis="axisCol" showAll="0">
      <items count="6">
        <item x="1"/>
        <item x="2"/>
        <item x="3"/>
        <item x="4"/>
        <item h="1" x="0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tability" fld="8" subtotal="average" baseField="0" baseItem="0"/>
  </dataFields>
  <chartFormats count="8">
    <chartFormat chart="0" format="13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13" count="1" selected="0">
            <x v="2"/>
          </reference>
        </references>
      </pivotArea>
    </chartFormat>
    <chartFormat chart="0" format="16" series="1">
      <pivotArea type="data" outline="0" fieldPosition="0">
        <references count="1">
          <reference field="13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C64A7-5A4C-4F70-BB26-6637515474E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9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axis="axisCol" showAll="0">
      <items count="6">
        <item x="1"/>
        <item x="2"/>
        <item x="3"/>
        <item x="4"/>
        <item h="1" x="0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xploration" fld="9" subtotal="average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DBB9F-ED38-428D-AFD7-F7473955CC9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9" firstHeaderRow="1" firstDataRow="2" firstDataCol="1"/>
  <pivotFields count="15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Average of Musicality Norm" fld="4" subtotal="average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5F20E-7390-4EED-ABC6-DB97919E010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9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6">
        <item x="1"/>
        <item x="2"/>
        <item x="3"/>
        <item x="4"/>
        <item h="1" x="0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xploration" fld="9" subtotal="average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EC55C3-CE79-4237-88A8-3CE7D8C140BF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9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1"/>
        <item x="2"/>
        <item x="3"/>
        <item x="4"/>
        <item h="1" x="0"/>
        <item t="default"/>
      </items>
    </pivotField>
    <pivotField axis="axisCol" showAll="0">
      <items count="6">
        <item x="1"/>
        <item x="2"/>
        <item x="3"/>
        <item x="4"/>
        <item x="0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xploration" fld="9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16905-B81E-4C7C-A0D0-F58091D2CAE7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E9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1"/>
        <item x="2"/>
        <item x="3"/>
        <item x="4"/>
        <item h="1" x="0"/>
        <item t="default"/>
      </items>
    </pivotField>
    <pivotField showAll="0"/>
    <pivotField axis="axisCol" showAll="0">
      <items count="5">
        <item x="1"/>
        <item x="2"/>
        <item x="3"/>
        <item x="0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Average of Exploration" fld="9" subtotal="average" baseField="0" baseItem="0"/>
  </dataFields>
  <chartFormats count="1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4" count="1" selected="0">
            <x v="0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4" count="1" selected="0">
            <x v="0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4" count="1" selected="0">
            <x v="0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E970-9003-4965-9EB1-86182E83892C}">
  <dimension ref="A1:P72"/>
  <sheetViews>
    <sheetView topLeftCell="A15" zoomScale="85" zoomScaleNormal="85" workbookViewId="0">
      <selection activeCell="B51" sqref="B51"/>
    </sheetView>
  </sheetViews>
  <sheetFormatPr defaultRowHeight="14.4" x14ac:dyDescent="0.3"/>
  <cols>
    <col min="1" max="1" width="13.6640625" bestFit="1" customWidth="1"/>
    <col min="2" max="2" width="33.109375" bestFit="1" customWidth="1"/>
    <col min="3" max="3" width="40.77734375" bestFit="1" customWidth="1"/>
    <col min="4" max="4" width="18.77734375" style="4" bestFit="1" customWidth="1"/>
    <col min="5" max="5" width="21.77734375" bestFit="1" customWidth="1"/>
    <col min="6" max="6" width="22.109375" bestFit="1" customWidth="1"/>
    <col min="7" max="7" width="27.77734375" bestFit="1" customWidth="1"/>
    <col min="8" max="8" width="19.33203125" bestFit="1" customWidth="1"/>
    <col min="9" max="9" width="12.88671875" bestFit="1" customWidth="1"/>
    <col min="10" max="10" width="15.6640625" bestFit="1" customWidth="1"/>
    <col min="11" max="11" width="17.88671875" bestFit="1" customWidth="1"/>
    <col min="12" max="12" width="94.5546875" bestFit="1" customWidth="1"/>
    <col min="13" max="13" width="13.88671875" bestFit="1" customWidth="1"/>
    <col min="14" max="15" width="10.109375" style="4" bestFit="1" customWidth="1"/>
    <col min="16" max="16" width="8.88671875" style="2"/>
  </cols>
  <sheetData>
    <row r="1" spans="1:16" ht="19.8" x14ac:dyDescent="0.3">
      <c r="A1" s="13" t="s">
        <v>81</v>
      </c>
      <c r="B1" s="13"/>
      <c r="C1" s="13" t="s">
        <v>82</v>
      </c>
      <c r="D1" s="13"/>
      <c r="E1" s="13"/>
      <c r="F1" s="13"/>
      <c r="G1" s="13"/>
      <c r="H1" s="13"/>
      <c r="I1" s="13"/>
      <c r="J1" s="13"/>
      <c r="K1" s="13"/>
      <c r="L1" s="13"/>
      <c r="M1" s="4"/>
    </row>
    <row r="2" spans="1:16" ht="16.2" x14ac:dyDescent="0.3">
      <c r="A2" s="11" t="s">
        <v>0</v>
      </c>
      <c r="B2" s="11" t="s">
        <v>1</v>
      </c>
      <c r="C2" s="8" t="s">
        <v>3</v>
      </c>
      <c r="D2" s="8" t="s">
        <v>33</v>
      </c>
      <c r="E2" s="8" t="s">
        <v>34</v>
      </c>
      <c r="F2" s="8" t="s">
        <v>35</v>
      </c>
      <c r="G2" s="8" t="s">
        <v>36</v>
      </c>
      <c r="H2" s="8" t="s">
        <v>37</v>
      </c>
      <c r="I2" s="8" t="s">
        <v>91</v>
      </c>
      <c r="J2" s="8" t="s">
        <v>38</v>
      </c>
      <c r="K2" s="8" t="s">
        <v>39</v>
      </c>
      <c r="L2" s="8" t="s">
        <v>40</v>
      </c>
      <c r="M2" s="5" t="s">
        <v>83</v>
      </c>
      <c r="N2" s="5" t="s">
        <v>84</v>
      </c>
      <c r="O2" s="5" t="s">
        <v>85</v>
      </c>
      <c r="P2" s="3"/>
    </row>
    <row r="3" spans="1:16" ht="16.2" x14ac:dyDescent="0.3">
      <c r="A3" s="5" t="s">
        <v>2</v>
      </c>
      <c r="B3" s="1" t="s">
        <v>93</v>
      </c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3"/>
    </row>
    <row r="4" spans="1:16" x14ac:dyDescent="0.3">
      <c r="A4" s="5"/>
      <c r="B4" s="5"/>
      <c r="C4" s="10" t="s">
        <v>4</v>
      </c>
      <c r="D4" s="10">
        <v>1</v>
      </c>
      <c r="E4" s="10">
        <v>0.25</v>
      </c>
      <c r="F4" s="10">
        <v>1</v>
      </c>
      <c r="G4" s="10">
        <v>0</v>
      </c>
      <c r="H4" s="10">
        <v>0</v>
      </c>
      <c r="I4" s="10">
        <f>(D4+F4)/2</f>
        <v>1</v>
      </c>
      <c r="J4" s="10">
        <v>0</v>
      </c>
      <c r="K4" s="10">
        <v>0</v>
      </c>
      <c r="L4" s="10" t="s">
        <v>41</v>
      </c>
      <c r="M4" s="5">
        <v>0.6</v>
      </c>
      <c r="N4" s="5">
        <v>0</v>
      </c>
      <c r="O4" s="5">
        <v>0.9</v>
      </c>
      <c r="P4" s="2">
        <f>CORREL(M:M,J:J)</f>
        <v>0.7198301325136971</v>
      </c>
    </row>
    <row r="5" spans="1:16" x14ac:dyDescent="0.3">
      <c r="A5" s="5"/>
      <c r="B5" s="5"/>
      <c r="C5" s="10" t="s">
        <v>5</v>
      </c>
      <c r="D5" s="10">
        <v>1</v>
      </c>
      <c r="E5" s="10">
        <v>0.25</v>
      </c>
      <c r="F5" s="10">
        <v>1</v>
      </c>
      <c r="G5" s="10">
        <v>0</v>
      </c>
      <c r="H5" s="10">
        <v>0</v>
      </c>
      <c r="I5" s="10">
        <f t="shared" ref="I5:I68" si="0">(D5+F5)/2</f>
        <v>1</v>
      </c>
      <c r="J5" s="10">
        <v>0</v>
      </c>
      <c r="K5" s="10">
        <v>0</v>
      </c>
      <c r="L5" s="10"/>
      <c r="M5" s="5">
        <v>0.6</v>
      </c>
      <c r="N5" s="5">
        <v>0.02</v>
      </c>
      <c r="O5" s="5">
        <v>0.9</v>
      </c>
      <c r="P5" s="3">
        <f>CORREL(O:O, J:J)</f>
        <v>8.742258112846725E-2</v>
      </c>
    </row>
    <row r="6" spans="1:16" x14ac:dyDescent="0.3">
      <c r="A6" s="5"/>
      <c r="B6" s="5"/>
      <c r="C6" s="10" t="s">
        <v>6</v>
      </c>
      <c r="D6" s="10">
        <v>1</v>
      </c>
      <c r="E6" s="10">
        <v>0.5</v>
      </c>
      <c r="F6" s="10">
        <v>0.75</v>
      </c>
      <c r="G6" s="10">
        <v>0.125</v>
      </c>
      <c r="H6" s="10">
        <v>0</v>
      </c>
      <c r="I6" s="10">
        <f t="shared" si="0"/>
        <v>0.875</v>
      </c>
      <c r="J6" s="10">
        <v>6.25E-2</v>
      </c>
      <c r="K6" s="10">
        <v>2.6041666666666664E-2</v>
      </c>
      <c r="L6" s="10"/>
      <c r="M6" s="5">
        <v>0.6</v>
      </c>
      <c r="N6" s="5">
        <v>0.04</v>
      </c>
      <c r="O6" s="5">
        <v>0.9</v>
      </c>
      <c r="P6" s="3">
        <f>CORREL(N:N, J:J)</f>
        <v>-3.7380009119924895E-2</v>
      </c>
    </row>
    <row r="7" spans="1:16" x14ac:dyDescent="0.3">
      <c r="A7" s="5"/>
      <c r="B7" s="5"/>
      <c r="C7" s="10" t="s">
        <v>7</v>
      </c>
      <c r="D7" s="10">
        <v>1</v>
      </c>
      <c r="E7" s="10">
        <v>0.25</v>
      </c>
      <c r="F7" s="10">
        <v>1</v>
      </c>
      <c r="G7" s="10">
        <v>0</v>
      </c>
      <c r="H7" s="10">
        <v>0</v>
      </c>
      <c r="I7" s="10">
        <f t="shared" si="0"/>
        <v>1</v>
      </c>
      <c r="J7" s="10">
        <v>0</v>
      </c>
      <c r="K7" s="10">
        <v>0</v>
      </c>
      <c r="L7" s="10"/>
      <c r="M7" s="5">
        <v>0.6</v>
      </c>
      <c r="N7" s="5">
        <v>0.06</v>
      </c>
      <c r="O7" s="5">
        <v>0.9</v>
      </c>
      <c r="P7" s="3"/>
    </row>
    <row r="8" spans="1:16" x14ac:dyDescent="0.3">
      <c r="A8" s="5"/>
      <c r="B8" s="5"/>
      <c r="C8" s="10" t="s">
        <v>8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f t="shared" si="0"/>
        <v>1</v>
      </c>
      <c r="J8" s="10">
        <v>0</v>
      </c>
      <c r="K8" s="10">
        <v>0</v>
      </c>
      <c r="L8" s="10"/>
      <c r="M8" s="5">
        <v>0.6</v>
      </c>
      <c r="N8" s="5">
        <v>0</v>
      </c>
      <c r="O8" s="5">
        <v>0.95</v>
      </c>
      <c r="P8" s="3"/>
    </row>
    <row r="9" spans="1:16" x14ac:dyDescent="0.3">
      <c r="A9" s="5"/>
      <c r="B9" s="5"/>
      <c r="C9" s="10" t="s">
        <v>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f t="shared" si="0"/>
        <v>1</v>
      </c>
      <c r="J9" s="10">
        <v>0</v>
      </c>
      <c r="K9" s="10">
        <v>0</v>
      </c>
      <c r="L9" s="10"/>
      <c r="M9" s="5">
        <v>0.6</v>
      </c>
      <c r="N9" s="5">
        <v>0.02</v>
      </c>
      <c r="O9" s="5">
        <v>0.95</v>
      </c>
      <c r="P9" s="3"/>
    </row>
    <row r="10" spans="1:16" x14ac:dyDescent="0.3">
      <c r="A10" s="5"/>
      <c r="B10" s="5"/>
      <c r="C10" s="10" t="s">
        <v>10</v>
      </c>
      <c r="D10" s="10">
        <v>1</v>
      </c>
      <c r="E10" s="10">
        <v>0.25</v>
      </c>
      <c r="F10" s="10">
        <v>0.75</v>
      </c>
      <c r="G10" s="10">
        <v>0</v>
      </c>
      <c r="H10" s="10">
        <v>0</v>
      </c>
      <c r="I10" s="10">
        <f t="shared" si="0"/>
        <v>0.875</v>
      </c>
      <c r="J10" s="10">
        <v>0</v>
      </c>
      <c r="K10" s="10">
        <v>0</v>
      </c>
      <c r="L10" s="10"/>
      <c r="M10" s="5">
        <v>0.6</v>
      </c>
      <c r="N10" s="5">
        <v>0.04</v>
      </c>
      <c r="O10" s="5">
        <v>0.95</v>
      </c>
      <c r="P10" s="3"/>
    </row>
    <row r="11" spans="1:16" x14ac:dyDescent="0.3">
      <c r="A11" s="5"/>
      <c r="B11" s="5"/>
      <c r="C11" s="10" t="s">
        <v>11</v>
      </c>
      <c r="D11" s="10">
        <v>1</v>
      </c>
      <c r="E11" s="10">
        <v>0.25</v>
      </c>
      <c r="F11" s="10">
        <v>1</v>
      </c>
      <c r="G11" s="10">
        <v>0</v>
      </c>
      <c r="H11" s="10">
        <v>0</v>
      </c>
      <c r="I11" s="10">
        <f t="shared" si="0"/>
        <v>1</v>
      </c>
      <c r="J11" s="10">
        <v>0</v>
      </c>
      <c r="K11" s="10">
        <v>0</v>
      </c>
      <c r="L11" s="10"/>
      <c r="M11" s="5">
        <v>0.6</v>
      </c>
      <c r="N11" s="5">
        <v>0.06</v>
      </c>
      <c r="O11" s="5">
        <v>0.95</v>
      </c>
      <c r="P11" s="3"/>
    </row>
    <row r="12" spans="1:16" x14ac:dyDescent="0.3">
      <c r="A12" s="5"/>
      <c r="B12" s="5"/>
      <c r="C12" s="10" t="s">
        <v>12</v>
      </c>
      <c r="D12" s="10">
        <v>1</v>
      </c>
      <c r="E12" s="10">
        <v>0.25</v>
      </c>
      <c r="F12" s="10">
        <v>1</v>
      </c>
      <c r="G12" s="10">
        <v>0</v>
      </c>
      <c r="H12" s="10">
        <v>0</v>
      </c>
      <c r="I12" s="10">
        <f t="shared" si="0"/>
        <v>1</v>
      </c>
      <c r="J12" s="10">
        <v>0</v>
      </c>
      <c r="K12" s="10">
        <v>0</v>
      </c>
      <c r="L12" s="10"/>
      <c r="M12" s="5">
        <v>0.6</v>
      </c>
      <c r="N12" s="5">
        <v>0</v>
      </c>
      <c r="O12" s="5">
        <v>0.98</v>
      </c>
      <c r="P12" s="3"/>
    </row>
    <row r="13" spans="1:16" x14ac:dyDescent="0.3">
      <c r="A13" s="5"/>
      <c r="B13" s="5"/>
      <c r="C13" s="10" t="s">
        <v>13</v>
      </c>
      <c r="D13" s="10">
        <v>1</v>
      </c>
      <c r="E13" s="10">
        <v>0.5</v>
      </c>
      <c r="F13" s="10">
        <v>0.75</v>
      </c>
      <c r="G13" s="10">
        <v>0</v>
      </c>
      <c r="H13" s="10">
        <v>0</v>
      </c>
      <c r="I13" s="10">
        <f t="shared" si="0"/>
        <v>0.875</v>
      </c>
      <c r="J13" s="10">
        <v>0</v>
      </c>
      <c r="K13" s="10">
        <v>0</v>
      </c>
      <c r="L13" s="10"/>
      <c r="M13" s="5">
        <v>0.6</v>
      </c>
      <c r="N13" s="5">
        <v>0.02</v>
      </c>
      <c r="O13" s="5">
        <v>0.98</v>
      </c>
      <c r="P13" s="3"/>
    </row>
    <row r="14" spans="1:16" x14ac:dyDescent="0.3">
      <c r="A14" s="5"/>
      <c r="B14" s="5"/>
      <c r="C14" s="10" t="s">
        <v>14</v>
      </c>
      <c r="D14" s="10">
        <v>1</v>
      </c>
      <c r="E14" s="10">
        <v>0.5</v>
      </c>
      <c r="F14" s="10">
        <v>0.75</v>
      </c>
      <c r="G14" s="10">
        <v>0.25</v>
      </c>
      <c r="H14" s="10">
        <v>0</v>
      </c>
      <c r="I14" s="10">
        <f t="shared" si="0"/>
        <v>0.875</v>
      </c>
      <c r="J14" s="10">
        <v>0.125</v>
      </c>
      <c r="K14" s="10">
        <v>5.2083333333333329E-2</v>
      </c>
      <c r="L14" s="10" t="s">
        <v>42</v>
      </c>
      <c r="M14" s="5">
        <v>0.6</v>
      </c>
      <c r="N14" s="5">
        <v>0.04</v>
      </c>
      <c r="O14" s="5">
        <v>0.98</v>
      </c>
      <c r="P14" s="3"/>
    </row>
    <row r="15" spans="1:16" x14ac:dyDescent="0.3">
      <c r="A15" s="5"/>
      <c r="B15" s="5"/>
      <c r="C15" s="10" t="s">
        <v>15</v>
      </c>
      <c r="D15" s="10">
        <v>1</v>
      </c>
      <c r="E15" s="10">
        <v>0.5</v>
      </c>
      <c r="F15" s="10">
        <v>0.75</v>
      </c>
      <c r="G15" s="10">
        <v>0.25</v>
      </c>
      <c r="H15" s="10">
        <v>0</v>
      </c>
      <c r="I15" s="10">
        <f t="shared" si="0"/>
        <v>0.875</v>
      </c>
      <c r="J15" s="10">
        <v>0.125</v>
      </c>
      <c r="K15" s="10">
        <v>5.2083333333333329E-2</v>
      </c>
      <c r="L15" s="10"/>
      <c r="M15" s="5">
        <v>0.6</v>
      </c>
      <c r="N15" s="5">
        <v>0.06</v>
      </c>
      <c r="O15" s="5">
        <v>0.98</v>
      </c>
      <c r="P15" s="3"/>
    </row>
    <row r="16" spans="1:16" x14ac:dyDescent="0.3">
      <c r="A16" s="5"/>
      <c r="B16" s="5"/>
      <c r="C16" s="10" t="s">
        <v>16</v>
      </c>
      <c r="D16" s="10">
        <v>1</v>
      </c>
      <c r="E16" s="10">
        <v>0.5</v>
      </c>
      <c r="F16" s="10">
        <v>1</v>
      </c>
      <c r="G16" s="10">
        <v>0.125</v>
      </c>
      <c r="H16" s="10">
        <v>0</v>
      </c>
      <c r="I16" s="10">
        <f t="shared" si="0"/>
        <v>1</v>
      </c>
      <c r="J16" s="10">
        <v>6.25E-2</v>
      </c>
      <c r="K16" s="10">
        <v>3.125E-2</v>
      </c>
      <c r="L16" s="10"/>
      <c r="M16" s="5">
        <v>0.8</v>
      </c>
      <c r="N16" s="5">
        <v>0</v>
      </c>
      <c r="O16" s="5">
        <v>0.9</v>
      </c>
      <c r="P16" s="3"/>
    </row>
    <row r="17" spans="1:16" x14ac:dyDescent="0.3">
      <c r="A17" s="5"/>
      <c r="B17" s="5"/>
      <c r="C17" s="10" t="s">
        <v>17</v>
      </c>
      <c r="D17" s="10">
        <v>1</v>
      </c>
      <c r="E17" s="10">
        <v>0.625</v>
      </c>
      <c r="F17" s="10">
        <v>0.5</v>
      </c>
      <c r="G17" s="10">
        <v>0.125</v>
      </c>
      <c r="H17" s="10">
        <v>0</v>
      </c>
      <c r="I17" s="10">
        <f t="shared" si="0"/>
        <v>0.75</v>
      </c>
      <c r="J17" s="10">
        <v>6.25E-2</v>
      </c>
      <c r="K17" s="10">
        <v>1.8229166666666664E-2</v>
      </c>
      <c r="L17" s="10" t="s">
        <v>43</v>
      </c>
      <c r="M17" s="5">
        <v>0.8</v>
      </c>
      <c r="N17" s="5">
        <v>0.02</v>
      </c>
      <c r="O17" s="5">
        <v>0.9</v>
      </c>
      <c r="P17" s="3"/>
    </row>
    <row r="18" spans="1:16" x14ac:dyDescent="0.3">
      <c r="A18" s="5"/>
      <c r="B18" s="5"/>
      <c r="C18" s="10" t="s">
        <v>18</v>
      </c>
      <c r="D18" s="10">
        <v>1</v>
      </c>
      <c r="E18" s="10">
        <v>0.625</v>
      </c>
      <c r="F18" s="10">
        <v>0.5</v>
      </c>
      <c r="G18" s="10">
        <v>0</v>
      </c>
      <c r="H18" s="10">
        <v>0.25</v>
      </c>
      <c r="I18" s="10">
        <f t="shared" si="0"/>
        <v>0.75</v>
      </c>
      <c r="J18" s="10">
        <v>0.125</v>
      </c>
      <c r="K18" s="10">
        <v>3.6458333333333329E-2</v>
      </c>
      <c r="L18" s="10" t="s">
        <v>44</v>
      </c>
      <c r="M18" s="5">
        <v>0.8</v>
      </c>
      <c r="N18" s="5">
        <v>0.04</v>
      </c>
      <c r="O18" s="5">
        <v>0.9</v>
      </c>
      <c r="P18" s="3"/>
    </row>
    <row r="19" spans="1:16" x14ac:dyDescent="0.3">
      <c r="A19" s="5"/>
      <c r="B19" s="5"/>
      <c r="C19" s="10" t="s">
        <v>19</v>
      </c>
      <c r="D19" s="10">
        <v>1</v>
      </c>
      <c r="E19" s="10">
        <v>0.375</v>
      </c>
      <c r="F19" s="10">
        <v>0.75</v>
      </c>
      <c r="G19" s="10">
        <v>0</v>
      </c>
      <c r="H19" s="10">
        <v>0</v>
      </c>
      <c r="I19" s="10">
        <f t="shared" si="0"/>
        <v>0.875</v>
      </c>
      <c r="J19" s="10">
        <v>0</v>
      </c>
      <c r="K19" s="10">
        <v>0</v>
      </c>
      <c r="L19" s="10"/>
      <c r="M19" s="5">
        <v>0.8</v>
      </c>
      <c r="N19" s="5">
        <v>0.06</v>
      </c>
      <c r="O19" s="5">
        <v>0.9</v>
      </c>
      <c r="P19" s="3"/>
    </row>
    <row r="20" spans="1:16" x14ac:dyDescent="0.3">
      <c r="A20" s="5"/>
      <c r="B20" s="5"/>
      <c r="C20" s="10" t="s">
        <v>20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f t="shared" si="0"/>
        <v>1</v>
      </c>
      <c r="J20" s="10">
        <v>0</v>
      </c>
      <c r="K20" s="10">
        <v>0</v>
      </c>
      <c r="L20" s="10"/>
      <c r="M20" s="5">
        <v>0.8</v>
      </c>
      <c r="N20" s="5">
        <v>0</v>
      </c>
      <c r="O20" s="5">
        <v>0.95</v>
      </c>
      <c r="P20" s="3"/>
    </row>
    <row r="21" spans="1:16" x14ac:dyDescent="0.3">
      <c r="A21" s="5"/>
      <c r="B21" s="5"/>
      <c r="C21" s="10" t="s">
        <v>21</v>
      </c>
      <c r="D21" s="10">
        <v>1</v>
      </c>
      <c r="E21" s="10">
        <v>0.5</v>
      </c>
      <c r="F21" s="10">
        <v>0.625</v>
      </c>
      <c r="G21" s="10">
        <v>0</v>
      </c>
      <c r="H21" s="10">
        <v>0.125</v>
      </c>
      <c r="I21" s="10">
        <f t="shared" si="0"/>
        <v>0.8125</v>
      </c>
      <c r="J21" s="10">
        <v>6.25E-2</v>
      </c>
      <c r="K21" s="10">
        <v>2.34375E-2</v>
      </c>
      <c r="L21" s="10"/>
      <c r="M21" s="5">
        <v>0.8</v>
      </c>
      <c r="N21" s="5">
        <v>0.02</v>
      </c>
      <c r="O21" s="5">
        <v>0.95</v>
      </c>
      <c r="P21" s="3"/>
    </row>
    <row r="22" spans="1:16" x14ac:dyDescent="0.3">
      <c r="A22" s="5"/>
      <c r="B22" s="5"/>
      <c r="C22" s="10" t="s">
        <v>22</v>
      </c>
      <c r="D22" s="10">
        <v>1</v>
      </c>
      <c r="E22" s="10">
        <v>0.5</v>
      </c>
      <c r="F22" s="10">
        <v>0.625</v>
      </c>
      <c r="G22" s="10">
        <v>0</v>
      </c>
      <c r="H22" s="10">
        <v>0.125</v>
      </c>
      <c r="I22" s="10">
        <f t="shared" si="0"/>
        <v>0.8125</v>
      </c>
      <c r="J22" s="10">
        <v>6.25E-2</v>
      </c>
      <c r="K22" s="10">
        <v>2.34375E-2</v>
      </c>
      <c r="L22" s="10"/>
      <c r="M22" s="5">
        <v>0.8</v>
      </c>
      <c r="N22" s="5">
        <v>0.04</v>
      </c>
      <c r="O22" s="5">
        <v>0.95</v>
      </c>
      <c r="P22" s="3"/>
    </row>
    <row r="23" spans="1:16" x14ac:dyDescent="0.3">
      <c r="A23" s="5"/>
      <c r="B23" s="5"/>
      <c r="C23" s="10" t="s">
        <v>23</v>
      </c>
      <c r="D23" s="10">
        <v>1</v>
      </c>
      <c r="E23" s="10">
        <v>0.625</v>
      </c>
      <c r="F23" s="10">
        <v>0.75</v>
      </c>
      <c r="G23" s="10">
        <v>0</v>
      </c>
      <c r="H23" s="10">
        <v>0.125</v>
      </c>
      <c r="I23" s="10">
        <f t="shared" si="0"/>
        <v>0.875</v>
      </c>
      <c r="J23" s="10">
        <v>6.25E-2</v>
      </c>
      <c r="K23" s="10">
        <v>2.34375E-2</v>
      </c>
      <c r="L23" s="10" t="s">
        <v>45</v>
      </c>
      <c r="M23" s="5">
        <v>0.8</v>
      </c>
      <c r="N23" s="5">
        <v>0.06</v>
      </c>
      <c r="O23" s="5">
        <v>0.95</v>
      </c>
      <c r="P23" s="3"/>
    </row>
    <row r="24" spans="1:16" x14ac:dyDescent="0.3">
      <c r="A24" s="5"/>
      <c r="B24" s="5"/>
      <c r="C24" s="10" t="s">
        <v>24</v>
      </c>
      <c r="D24" s="10">
        <v>1</v>
      </c>
      <c r="E24" s="10">
        <v>0.625</v>
      </c>
      <c r="F24" s="10">
        <v>0.5</v>
      </c>
      <c r="G24" s="10">
        <v>0.125</v>
      </c>
      <c r="H24" s="10">
        <v>0.25</v>
      </c>
      <c r="I24" s="10">
        <f t="shared" si="0"/>
        <v>0.75</v>
      </c>
      <c r="J24" s="10">
        <v>0.1875</v>
      </c>
      <c r="K24" s="10">
        <v>5.4687499999999993E-2</v>
      </c>
      <c r="L24" s="10" t="s">
        <v>46</v>
      </c>
      <c r="M24" s="5">
        <v>0.8</v>
      </c>
      <c r="N24" s="5">
        <v>0</v>
      </c>
      <c r="O24" s="5">
        <v>0.98</v>
      </c>
      <c r="P24" s="3"/>
    </row>
    <row r="25" spans="1:16" x14ac:dyDescent="0.3">
      <c r="A25" s="5"/>
      <c r="B25" s="5"/>
      <c r="C25" s="10" t="s">
        <v>25</v>
      </c>
      <c r="D25" s="10">
        <v>1</v>
      </c>
      <c r="E25" s="10">
        <v>0.625</v>
      </c>
      <c r="F25" s="10">
        <v>0.625</v>
      </c>
      <c r="G25" s="10">
        <v>0.125</v>
      </c>
      <c r="H25" s="10">
        <v>0.125</v>
      </c>
      <c r="I25" s="10">
        <f t="shared" si="0"/>
        <v>0.8125</v>
      </c>
      <c r="J25" s="10">
        <v>0.125</v>
      </c>
      <c r="K25" s="10">
        <v>4.1666666666666671E-2</v>
      </c>
      <c r="L25" s="10" t="s">
        <v>47</v>
      </c>
      <c r="M25" s="5">
        <v>0.8</v>
      </c>
      <c r="N25" s="5">
        <v>0.02</v>
      </c>
      <c r="O25" s="5">
        <v>0.98</v>
      </c>
      <c r="P25" s="3"/>
    </row>
    <row r="26" spans="1:16" x14ac:dyDescent="0.3">
      <c r="A26" s="5"/>
      <c r="B26" s="5"/>
      <c r="C26" s="10" t="s">
        <v>26</v>
      </c>
      <c r="D26" s="10">
        <v>1</v>
      </c>
      <c r="E26" s="10">
        <v>0.125</v>
      </c>
      <c r="F26" s="10">
        <v>1</v>
      </c>
      <c r="G26" s="10">
        <v>0</v>
      </c>
      <c r="H26" s="10">
        <v>0</v>
      </c>
      <c r="I26" s="10">
        <f t="shared" si="0"/>
        <v>1</v>
      </c>
      <c r="J26" s="10">
        <v>0</v>
      </c>
      <c r="K26" s="10">
        <v>0</v>
      </c>
      <c r="L26" s="10"/>
      <c r="M26" s="5">
        <v>0.8</v>
      </c>
      <c r="N26" s="5">
        <v>0.04</v>
      </c>
      <c r="O26" s="5">
        <v>0.98</v>
      </c>
      <c r="P26" s="3"/>
    </row>
    <row r="27" spans="1:16" x14ac:dyDescent="0.3">
      <c r="A27" s="5"/>
      <c r="B27" s="5"/>
      <c r="C27" s="10" t="s">
        <v>27</v>
      </c>
      <c r="D27" s="10">
        <v>1</v>
      </c>
      <c r="E27" s="10">
        <v>0.5</v>
      </c>
      <c r="F27" s="10">
        <v>0.75</v>
      </c>
      <c r="G27" s="10">
        <v>0</v>
      </c>
      <c r="H27" s="10">
        <v>0.125</v>
      </c>
      <c r="I27" s="10">
        <f t="shared" si="0"/>
        <v>0.875</v>
      </c>
      <c r="J27" s="10">
        <v>6.25E-2</v>
      </c>
      <c r="K27" s="10">
        <v>2.6041666666666664E-2</v>
      </c>
      <c r="L27" s="10"/>
      <c r="M27" s="5">
        <v>0.8</v>
      </c>
      <c r="N27" s="5">
        <v>0.06</v>
      </c>
      <c r="O27" s="5">
        <v>0.98</v>
      </c>
      <c r="P27" s="3"/>
    </row>
    <row r="28" spans="1:16" x14ac:dyDescent="0.3">
      <c r="A28" s="5"/>
      <c r="B28" s="5"/>
      <c r="C28" s="10" t="s">
        <v>28</v>
      </c>
      <c r="D28" s="10">
        <v>1</v>
      </c>
      <c r="E28" s="10">
        <v>0.75</v>
      </c>
      <c r="F28" s="10">
        <v>0.5</v>
      </c>
      <c r="G28" s="10">
        <v>0</v>
      </c>
      <c r="H28" s="10">
        <v>0.25</v>
      </c>
      <c r="I28" s="10">
        <f t="shared" si="0"/>
        <v>0.75</v>
      </c>
      <c r="J28" s="10">
        <v>0.125</v>
      </c>
      <c r="K28" s="10">
        <v>3.125E-2</v>
      </c>
      <c r="L28" s="10" t="s">
        <v>48</v>
      </c>
      <c r="M28" s="5">
        <v>1</v>
      </c>
      <c r="N28" s="5">
        <v>0</v>
      </c>
      <c r="O28" s="5">
        <v>0.9</v>
      </c>
      <c r="P28" s="3"/>
    </row>
    <row r="29" spans="1:16" x14ac:dyDescent="0.3">
      <c r="A29" s="5"/>
      <c r="B29" s="5"/>
      <c r="C29" s="10" t="s">
        <v>29</v>
      </c>
      <c r="D29" s="10">
        <v>1</v>
      </c>
      <c r="E29" s="10">
        <v>0.625</v>
      </c>
      <c r="F29" s="10">
        <v>0.5</v>
      </c>
      <c r="G29" s="10">
        <v>0.125</v>
      </c>
      <c r="H29" s="10">
        <v>0.25</v>
      </c>
      <c r="I29" s="10">
        <f t="shared" si="0"/>
        <v>0.75</v>
      </c>
      <c r="J29" s="10">
        <v>0.1875</v>
      </c>
      <c r="K29" s="10">
        <v>5.4687499999999993E-2</v>
      </c>
      <c r="L29" s="10" t="s">
        <v>49</v>
      </c>
      <c r="M29" s="5">
        <v>1</v>
      </c>
      <c r="N29" s="5">
        <v>0.02</v>
      </c>
      <c r="O29" s="5">
        <v>0.9</v>
      </c>
      <c r="P29" s="3"/>
    </row>
    <row r="30" spans="1:16" x14ac:dyDescent="0.3">
      <c r="A30" s="5"/>
      <c r="B30" s="5"/>
      <c r="C30" s="10" t="s">
        <v>30</v>
      </c>
      <c r="D30" s="10">
        <v>1</v>
      </c>
      <c r="E30" s="10">
        <v>0.5</v>
      </c>
      <c r="F30" s="10">
        <v>0.5</v>
      </c>
      <c r="G30" s="10">
        <v>0.125</v>
      </c>
      <c r="H30" s="10">
        <v>0.25</v>
      </c>
      <c r="I30" s="10">
        <f t="shared" si="0"/>
        <v>0.75</v>
      </c>
      <c r="J30" s="10">
        <v>0.1875</v>
      </c>
      <c r="K30" s="10">
        <v>6.25E-2</v>
      </c>
      <c r="L30" s="10" t="s">
        <v>50</v>
      </c>
      <c r="M30" s="5">
        <v>1</v>
      </c>
      <c r="N30" s="5">
        <v>0.04</v>
      </c>
      <c r="O30" s="5">
        <v>0.9</v>
      </c>
      <c r="P30" s="3"/>
    </row>
    <row r="31" spans="1:16" x14ac:dyDescent="0.3">
      <c r="A31" s="5"/>
      <c r="B31" s="5"/>
      <c r="C31" s="10" t="s">
        <v>31</v>
      </c>
      <c r="D31" s="10">
        <v>1</v>
      </c>
      <c r="E31" s="10">
        <v>0.5</v>
      </c>
      <c r="F31" s="10">
        <v>0.75</v>
      </c>
      <c r="G31" s="10">
        <v>0.125</v>
      </c>
      <c r="H31" s="10">
        <v>0.25</v>
      </c>
      <c r="I31" s="10">
        <f t="shared" si="0"/>
        <v>0.875</v>
      </c>
      <c r="J31" s="10">
        <v>0.1875</v>
      </c>
      <c r="K31" s="10">
        <v>7.8125E-2</v>
      </c>
      <c r="L31" s="10" t="s">
        <v>51</v>
      </c>
      <c r="M31" s="5">
        <v>1</v>
      </c>
      <c r="N31" s="5">
        <v>0.06</v>
      </c>
      <c r="O31" s="5">
        <v>0.9</v>
      </c>
      <c r="P31" s="3"/>
    </row>
    <row r="32" spans="1:16" x14ac:dyDescent="0.3">
      <c r="A32" s="5"/>
      <c r="B32" s="5"/>
      <c r="C32" s="10" t="s">
        <v>32</v>
      </c>
      <c r="D32" s="10">
        <v>0.875</v>
      </c>
      <c r="E32" s="10">
        <v>0.375</v>
      </c>
      <c r="F32" s="10">
        <v>1</v>
      </c>
      <c r="G32" s="10">
        <v>0</v>
      </c>
      <c r="H32" s="10">
        <v>0.125</v>
      </c>
      <c r="I32" s="10">
        <f t="shared" si="0"/>
        <v>0.9375</v>
      </c>
      <c r="J32" s="10">
        <v>6.25E-2</v>
      </c>
      <c r="K32" s="10">
        <v>3.6458333333333329E-2</v>
      </c>
      <c r="L32" s="10"/>
      <c r="M32" s="5">
        <v>1</v>
      </c>
      <c r="N32" s="5">
        <v>0</v>
      </c>
      <c r="O32" s="5">
        <v>0.95</v>
      </c>
      <c r="P32" s="3"/>
    </row>
    <row r="33" spans="1:16" x14ac:dyDescent="0.3">
      <c r="A33" s="5"/>
      <c r="B33" s="5"/>
      <c r="C33" s="10" t="s">
        <v>52</v>
      </c>
      <c r="D33" s="10">
        <v>0.75</v>
      </c>
      <c r="E33" s="10">
        <v>0.375</v>
      </c>
      <c r="F33" s="10">
        <v>0.25</v>
      </c>
      <c r="G33" s="10">
        <v>0.375</v>
      </c>
      <c r="H33" s="10">
        <v>0.375</v>
      </c>
      <c r="I33" s="10">
        <f t="shared" si="0"/>
        <v>0.5</v>
      </c>
      <c r="J33" s="10">
        <v>0.375</v>
      </c>
      <c r="K33" s="10">
        <v>0.140625</v>
      </c>
      <c r="L33" s="10" t="s">
        <v>55</v>
      </c>
      <c r="M33" s="5">
        <v>1</v>
      </c>
      <c r="N33" s="5">
        <v>0.04</v>
      </c>
      <c r="O33" s="5">
        <v>0.95</v>
      </c>
      <c r="P33" s="3"/>
    </row>
    <row r="34" spans="1:16" x14ac:dyDescent="0.3">
      <c r="A34" s="5"/>
      <c r="B34" s="5"/>
      <c r="C34" s="10" t="s">
        <v>53</v>
      </c>
      <c r="D34" s="10">
        <v>1</v>
      </c>
      <c r="E34" s="10">
        <v>0.5</v>
      </c>
      <c r="F34" s="10">
        <v>0.25</v>
      </c>
      <c r="G34" s="10">
        <v>0.125</v>
      </c>
      <c r="H34" s="10">
        <v>0.375</v>
      </c>
      <c r="I34" s="10">
        <f t="shared" si="0"/>
        <v>0.625</v>
      </c>
      <c r="J34" s="10">
        <v>0.25</v>
      </c>
      <c r="K34" s="10">
        <v>6.25E-2</v>
      </c>
      <c r="L34" s="10" t="s">
        <v>56</v>
      </c>
      <c r="M34" s="5">
        <v>1</v>
      </c>
      <c r="N34" s="5">
        <v>0.06</v>
      </c>
      <c r="O34" s="5">
        <v>0.95</v>
      </c>
      <c r="P34" s="3"/>
    </row>
    <row r="35" spans="1:16" x14ac:dyDescent="0.3">
      <c r="A35" s="5"/>
      <c r="B35" s="5"/>
      <c r="C35" s="10" t="s">
        <v>54</v>
      </c>
      <c r="D35" s="10">
        <v>1</v>
      </c>
      <c r="E35" s="10">
        <v>0.375</v>
      </c>
      <c r="F35" s="10">
        <v>0.5</v>
      </c>
      <c r="G35" s="10">
        <v>0</v>
      </c>
      <c r="H35" s="10">
        <v>0.125</v>
      </c>
      <c r="I35" s="10">
        <f t="shared" si="0"/>
        <v>0.75</v>
      </c>
      <c r="J35" s="10">
        <v>6.25E-2</v>
      </c>
      <c r="K35" s="10">
        <v>2.34375E-2</v>
      </c>
      <c r="L35" s="10"/>
      <c r="M35" s="5">
        <v>1</v>
      </c>
      <c r="N35" s="5">
        <v>0</v>
      </c>
      <c r="O35" s="5">
        <v>0.98</v>
      </c>
      <c r="P35" s="3"/>
    </row>
    <row r="36" spans="1:16" x14ac:dyDescent="0.3">
      <c r="A36" s="5"/>
      <c r="B36" s="5"/>
      <c r="C36" s="10" t="s">
        <v>57</v>
      </c>
      <c r="D36" s="10">
        <v>1</v>
      </c>
      <c r="E36" s="10">
        <v>0.5</v>
      </c>
      <c r="F36" s="10">
        <v>0.25</v>
      </c>
      <c r="G36" s="10">
        <v>0.375</v>
      </c>
      <c r="H36" s="10">
        <v>0.75</v>
      </c>
      <c r="I36" s="10">
        <f t="shared" si="0"/>
        <v>0.625</v>
      </c>
      <c r="J36" s="10">
        <v>0.5625</v>
      </c>
      <c r="K36" s="10">
        <v>0.140625</v>
      </c>
      <c r="L36" s="10" t="s">
        <v>59</v>
      </c>
      <c r="M36" s="5">
        <v>1</v>
      </c>
      <c r="N36" s="5">
        <v>0.06</v>
      </c>
      <c r="O36" s="5">
        <v>0.98</v>
      </c>
      <c r="P36" s="3"/>
    </row>
    <row r="37" spans="1:16" x14ac:dyDescent="0.3">
      <c r="A37" s="5"/>
      <c r="B37" s="5"/>
      <c r="C37" s="10" t="s">
        <v>58</v>
      </c>
      <c r="D37" s="10">
        <v>1</v>
      </c>
      <c r="E37" s="10">
        <v>0.5</v>
      </c>
      <c r="F37" s="10">
        <v>0.375</v>
      </c>
      <c r="G37" s="10">
        <v>0.125</v>
      </c>
      <c r="H37" s="10">
        <v>0.375</v>
      </c>
      <c r="I37" s="10">
        <f t="shared" si="0"/>
        <v>0.6875</v>
      </c>
      <c r="J37" s="10">
        <v>0.25</v>
      </c>
      <c r="K37" s="10">
        <v>7.2916666666666657E-2</v>
      </c>
      <c r="L37" s="10"/>
      <c r="M37" s="5">
        <v>1.2</v>
      </c>
      <c r="N37" s="5">
        <v>0</v>
      </c>
      <c r="O37" s="5">
        <v>0.9</v>
      </c>
      <c r="P37" s="3"/>
    </row>
    <row r="38" spans="1:16" x14ac:dyDescent="0.3">
      <c r="A38" s="5"/>
      <c r="B38" s="5"/>
      <c r="C38" s="10" t="s">
        <v>60</v>
      </c>
      <c r="D38" s="10">
        <v>1</v>
      </c>
      <c r="E38" s="10">
        <v>0.25</v>
      </c>
      <c r="F38" s="10">
        <v>0.75</v>
      </c>
      <c r="G38" s="10">
        <v>0.25</v>
      </c>
      <c r="H38" s="10">
        <v>0.25</v>
      </c>
      <c r="I38" s="10">
        <f t="shared" si="0"/>
        <v>0.875</v>
      </c>
      <c r="J38" s="10">
        <v>0.25</v>
      </c>
      <c r="K38" s="10">
        <v>0.125</v>
      </c>
      <c r="L38" s="10"/>
      <c r="M38" s="5">
        <v>1.2</v>
      </c>
      <c r="N38" s="5">
        <v>0.06</v>
      </c>
      <c r="O38" s="5">
        <v>0.9</v>
      </c>
      <c r="P38" s="3"/>
    </row>
    <row r="39" spans="1:16" x14ac:dyDescent="0.3">
      <c r="A39" s="5"/>
      <c r="B39" s="5"/>
      <c r="C39" s="10" t="s">
        <v>61</v>
      </c>
      <c r="D39" s="10">
        <v>1</v>
      </c>
      <c r="E39" s="10">
        <v>1</v>
      </c>
      <c r="F39" s="10">
        <v>0</v>
      </c>
      <c r="G39" s="10">
        <v>0.5</v>
      </c>
      <c r="H39" s="10">
        <v>1</v>
      </c>
      <c r="I39" s="10">
        <f t="shared" si="0"/>
        <v>0.5</v>
      </c>
      <c r="J39" s="10">
        <v>0.75</v>
      </c>
      <c r="K39" s="10">
        <v>0</v>
      </c>
      <c r="L39" s="10" t="s">
        <v>62</v>
      </c>
      <c r="M39" s="5">
        <v>1.2</v>
      </c>
      <c r="N39" s="5">
        <v>0</v>
      </c>
      <c r="O39" s="5">
        <v>0.95</v>
      </c>
      <c r="P39" s="3"/>
    </row>
    <row r="40" spans="1:16" x14ac:dyDescent="0.3">
      <c r="A40" s="5"/>
      <c r="B40" s="5"/>
      <c r="C40" s="10" t="s">
        <v>63</v>
      </c>
      <c r="D40" s="10">
        <v>1</v>
      </c>
      <c r="E40" s="10">
        <v>0.5</v>
      </c>
      <c r="F40" s="10">
        <v>0.75</v>
      </c>
      <c r="G40" s="10">
        <v>0.125</v>
      </c>
      <c r="H40" s="10">
        <v>0.25</v>
      </c>
      <c r="I40" s="10">
        <f t="shared" si="0"/>
        <v>0.875</v>
      </c>
      <c r="J40" s="10">
        <v>0.1875</v>
      </c>
      <c r="K40" s="10">
        <v>7.8125E-2</v>
      </c>
      <c r="L40" s="10"/>
      <c r="M40" s="5">
        <v>1.2</v>
      </c>
      <c r="N40" s="5">
        <v>0.06</v>
      </c>
      <c r="O40" s="5">
        <v>0.95</v>
      </c>
      <c r="P40" s="3"/>
    </row>
    <row r="41" spans="1:16" x14ac:dyDescent="0.3">
      <c r="A41" s="5"/>
      <c r="B41" s="5"/>
      <c r="C41" s="10" t="s">
        <v>64</v>
      </c>
      <c r="D41" s="10">
        <v>0.75</v>
      </c>
      <c r="E41" s="10">
        <v>0.875</v>
      </c>
      <c r="F41" s="10">
        <v>0</v>
      </c>
      <c r="G41" s="10">
        <v>0.375</v>
      </c>
      <c r="H41" s="10">
        <v>1</v>
      </c>
      <c r="I41" s="10">
        <f t="shared" si="0"/>
        <v>0.375</v>
      </c>
      <c r="J41" s="10">
        <v>0.6875</v>
      </c>
      <c r="K41" s="10">
        <v>8.59375E-2</v>
      </c>
      <c r="L41" s="10" t="s">
        <v>65</v>
      </c>
      <c r="M41" s="5">
        <v>1.2</v>
      </c>
      <c r="N41" s="5">
        <v>0</v>
      </c>
      <c r="O41" s="5">
        <v>0.98</v>
      </c>
      <c r="P41" s="3"/>
    </row>
    <row r="42" spans="1:16" x14ac:dyDescent="0.3">
      <c r="A42" s="5"/>
      <c r="B42" s="5"/>
      <c r="C42" s="10" t="s">
        <v>66</v>
      </c>
      <c r="D42" s="10">
        <v>1</v>
      </c>
      <c r="E42" s="10">
        <v>0.75</v>
      </c>
      <c r="F42" s="10">
        <v>0.25</v>
      </c>
      <c r="G42" s="10">
        <v>0.25</v>
      </c>
      <c r="H42" s="10">
        <v>0.75</v>
      </c>
      <c r="I42" s="10">
        <f t="shared" si="0"/>
        <v>0.625</v>
      </c>
      <c r="J42" s="10">
        <v>0.5</v>
      </c>
      <c r="K42" s="10">
        <v>8.3333333333333315E-2</v>
      </c>
      <c r="L42" s="10" t="s">
        <v>67</v>
      </c>
      <c r="M42" s="5">
        <v>1.2</v>
      </c>
      <c r="N42" s="5">
        <v>0.06</v>
      </c>
      <c r="O42" s="5">
        <v>0.98</v>
      </c>
      <c r="P42" s="3"/>
    </row>
    <row r="43" spans="1:16" x14ac:dyDescent="0.3">
      <c r="A43" s="5" t="s">
        <v>68</v>
      </c>
      <c r="B43" s="1" t="s">
        <v>94</v>
      </c>
      <c r="C43" s="10"/>
      <c r="D43" s="10"/>
      <c r="E43" s="10"/>
      <c r="F43" s="10"/>
      <c r="G43" s="10"/>
      <c r="H43" s="10"/>
      <c r="I43" s="10"/>
      <c r="J43" s="10"/>
      <c r="K43" s="10"/>
      <c r="L43" s="12"/>
      <c r="M43" s="5"/>
      <c r="N43" s="5"/>
      <c r="O43" s="5"/>
      <c r="P43" s="3"/>
    </row>
    <row r="44" spans="1:16" x14ac:dyDescent="0.3">
      <c r="A44" s="5"/>
      <c r="B44" s="5"/>
      <c r="C44" s="10" t="s">
        <v>4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f t="shared" si="0"/>
        <v>1</v>
      </c>
      <c r="J44" s="10">
        <v>0</v>
      </c>
      <c r="K44" s="10">
        <v>0</v>
      </c>
      <c r="L44" s="10"/>
      <c r="M44" s="5">
        <v>0.6</v>
      </c>
      <c r="N44" s="5">
        <v>0</v>
      </c>
      <c r="O44" s="5">
        <v>0.9</v>
      </c>
      <c r="P44" s="3"/>
    </row>
    <row r="45" spans="1:16" x14ac:dyDescent="0.3">
      <c r="A45" s="5"/>
      <c r="B45" s="5"/>
      <c r="C45" s="10" t="s">
        <v>7</v>
      </c>
      <c r="D45" s="10">
        <v>1</v>
      </c>
      <c r="E45" s="10">
        <v>0</v>
      </c>
      <c r="F45" s="10">
        <v>1</v>
      </c>
      <c r="G45" s="10">
        <v>0.25</v>
      </c>
      <c r="H45" s="10">
        <v>0</v>
      </c>
      <c r="I45" s="10">
        <f t="shared" si="0"/>
        <v>1</v>
      </c>
      <c r="J45" s="10">
        <v>0.125</v>
      </c>
      <c r="K45" s="10">
        <v>8.3333333333333343E-2</v>
      </c>
      <c r="L45" s="10" t="s">
        <v>69</v>
      </c>
      <c r="M45" s="5">
        <v>0.6</v>
      </c>
      <c r="N45" s="5">
        <v>0.06</v>
      </c>
      <c r="O45" s="5">
        <v>0.9</v>
      </c>
      <c r="P45" s="3"/>
    </row>
    <row r="46" spans="1:16" x14ac:dyDescent="0.3">
      <c r="A46" s="5"/>
      <c r="B46" s="5"/>
      <c r="C46" s="10" t="s">
        <v>12</v>
      </c>
      <c r="D46" s="10">
        <v>1</v>
      </c>
      <c r="E46" s="10">
        <v>-0.25</v>
      </c>
      <c r="F46" s="10">
        <v>1</v>
      </c>
      <c r="G46" s="10">
        <v>0</v>
      </c>
      <c r="H46" s="10">
        <v>0</v>
      </c>
      <c r="I46" s="10">
        <f t="shared" si="0"/>
        <v>1</v>
      </c>
      <c r="J46" s="10">
        <v>0</v>
      </c>
      <c r="K46" s="10">
        <v>0</v>
      </c>
      <c r="L46" s="10" t="s">
        <v>70</v>
      </c>
      <c r="M46" s="5">
        <v>0.6</v>
      </c>
      <c r="N46" s="5">
        <v>0</v>
      </c>
      <c r="O46" s="5">
        <v>0.98</v>
      </c>
      <c r="P46" s="3"/>
    </row>
    <row r="47" spans="1:16" x14ac:dyDescent="0.3">
      <c r="A47" s="5"/>
      <c r="B47" s="5"/>
      <c r="C47" s="10" t="s">
        <v>15</v>
      </c>
      <c r="D47" s="10">
        <v>1</v>
      </c>
      <c r="E47" s="10">
        <v>0.75</v>
      </c>
      <c r="F47" s="10">
        <v>0.5</v>
      </c>
      <c r="G47" s="10">
        <v>0.25</v>
      </c>
      <c r="H47" s="10">
        <v>0.5</v>
      </c>
      <c r="I47" s="10">
        <f t="shared" si="0"/>
        <v>0.75</v>
      </c>
      <c r="J47" s="10">
        <v>0.375</v>
      </c>
      <c r="K47" s="10">
        <v>9.375E-2</v>
      </c>
      <c r="L47" s="10" t="s">
        <v>71</v>
      </c>
      <c r="M47" s="5">
        <v>0.6</v>
      </c>
      <c r="N47" s="5">
        <v>0.06</v>
      </c>
      <c r="O47" s="5">
        <v>0.98</v>
      </c>
      <c r="P47" s="3"/>
    </row>
    <row r="48" spans="1:16" x14ac:dyDescent="0.3">
      <c r="A48" s="5"/>
      <c r="B48" s="5"/>
      <c r="C48" s="10" t="s">
        <v>28</v>
      </c>
      <c r="D48" s="10">
        <v>1</v>
      </c>
      <c r="E48" s="10">
        <v>0.75</v>
      </c>
      <c r="F48" s="10">
        <v>0.25</v>
      </c>
      <c r="G48" s="10">
        <v>0.25</v>
      </c>
      <c r="H48" s="10">
        <v>0.75</v>
      </c>
      <c r="I48" s="10">
        <f t="shared" si="0"/>
        <v>0.625</v>
      </c>
      <c r="J48" s="10">
        <v>0.5</v>
      </c>
      <c r="K48" s="10">
        <v>8.3333333333333315E-2</v>
      </c>
      <c r="L48" s="10" t="s">
        <v>43</v>
      </c>
      <c r="M48" s="5">
        <v>1</v>
      </c>
      <c r="N48" s="5">
        <v>0</v>
      </c>
      <c r="O48" s="5">
        <v>0.9</v>
      </c>
      <c r="P48" s="3"/>
    </row>
    <row r="49" spans="1:16" x14ac:dyDescent="0.3">
      <c r="A49" s="5"/>
      <c r="B49" s="5"/>
      <c r="C49" s="10" t="s">
        <v>31</v>
      </c>
      <c r="D49" s="10">
        <v>1</v>
      </c>
      <c r="E49" s="10">
        <v>0.625</v>
      </c>
      <c r="F49" s="10">
        <v>0.25</v>
      </c>
      <c r="G49" s="10">
        <v>0.5</v>
      </c>
      <c r="H49" s="10">
        <v>0.875</v>
      </c>
      <c r="I49" s="10">
        <f t="shared" si="0"/>
        <v>0.625</v>
      </c>
      <c r="J49" s="10">
        <v>0.6875</v>
      </c>
      <c r="K49" s="10">
        <v>0.14322916666666669</v>
      </c>
      <c r="L49" s="10" t="s">
        <v>72</v>
      </c>
      <c r="M49" s="5">
        <v>1</v>
      </c>
      <c r="N49" s="5">
        <v>0.06</v>
      </c>
      <c r="O49" s="5">
        <v>0.9</v>
      </c>
      <c r="P49" s="3"/>
    </row>
    <row r="50" spans="1:16" x14ac:dyDescent="0.3">
      <c r="A50" s="5"/>
      <c r="B50" s="5"/>
      <c r="C50" s="10" t="s">
        <v>54</v>
      </c>
      <c r="D50" s="10">
        <v>0.625</v>
      </c>
      <c r="E50" s="10">
        <v>0.5</v>
      </c>
      <c r="F50" s="10">
        <v>0.5</v>
      </c>
      <c r="G50" s="10">
        <v>0.375</v>
      </c>
      <c r="H50" s="10">
        <v>0.5</v>
      </c>
      <c r="I50" s="10">
        <f t="shared" si="0"/>
        <v>0.5625</v>
      </c>
      <c r="J50" s="10">
        <v>0.4375</v>
      </c>
      <c r="K50" s="10">
        <v>0.20052083333333334</v>
      </c>
      <c r="L50" s="10"/>
      <c r="M50" s="5">
        <v>1</v>
      </c>
      <c r="N50" s="5">
        <v>0</v>
      </c>
      <c r="O50" s="5">
        <v>0.98</v>
      </c>
      <c r="P50" s="3"/>
    </row>
    <row r="51" spans="1:16" x14ac:dyDescent="0.3">
      <c r="A51" s="5"/>
      <c r="B51" s="5"/>
      <c r="C51" s="10" t="s">
        <v>57</v>
      </c>
      <c r="D51" s="10">
        <v>1</v>
      </c>
      <c r="E51" s="10">
        <v>0.625</v>
      </c>
      <c r="F51" s="10">
        <v>0.44999999999999996</v>
      </c>
      <c r="G51" s="10">
        <v>0.375</v>
      </c>
      <c r="H51" s="10">
        <v>0.625</v>
      </c>
      <c r="I51" s="10">
        <f t="shared" si="0"/>
        <v>0.72499999999999998</v>
      </c>
      <c r="J51" s="10">
        <v>0.5</v>
      </c>
      <c r="K51" s="10">
        <v>0.13750000000000001</v>
      </c>
      <c r="L51" s="10"/>
      <c r="M51" s="5">
        <v>1</v>
      </c>
      <c r="N51" s="5">
        <v>0.06</v>
      </c>
      <c r="O51" s="5">
        <v>0.98</v>
      </c>
      <c r="P51" s="3"/>
    </row>
    <row r="52" spans="1:16" x14ac:dyDescent="0.3">
      <c r="A52" s="5"/>
      <c r="B52" s="5"/>
      <c r="C52" s="10" t="s">
        <v>58</v>
      </c>
      <c r="D52" s="10">
        <v>0.875</v>
      </c>
      <c r="E52" s="10">
        <v>0.75</v>
      </c>
      <c r="F52" s="10">
        <v>0.5</v>
      </c>
      <c r="G52" s="10">
        <v>0.5</v>
      </c>
      <c r="H52" s="10">
        <v>0.75</v>
      </c>
      <c r="I52" s="10">
        <f t="shared" si="0"/>
        <v>0.6875</v>
      </c>
      <c r="J52" s="10">
        <v>0.625</v>
      </c>
      <c r="K52" s="10">
        <v>0.18229166666666663</v>
      </c>
      <c r="L52" s="10" t="s">
        <v>73</v>
      </c>
      <c r="M52" s="5">
        <v>1.2</v>
      </c>
      <c r="N52" s="5">
        <v>0</v>
      </c>
      <c r="O52" s="5">
        <v>0.9</v>
      </c>
      <c r="P52" s="3"/>
    </row>
    <row r="53" spans="1:16" x14ac:dyDescent="0.3">
      <c r="A53" s="5"/>
      <c r="B53" s="5"/>
      <c r="C53" s="10" t="s">
        <v>60</v>
      </c>
      <c r="D53" s="10">
        <v>0.92500000000000004</v>
      </c>
      <c r="E53" s="10">
        <v>0.5</v>
      </c>
      <c r="F53" s="10">
        <v>0.5</v>
      </c>
      <c r="G53" s="10">
        <v>0.25</v>
      </c>
      <c r="H53" s="10">
        <v>0.75</v>
      </c>
      <c r="I53" s="10">
        <f t="shared" si="0"/>
        <v>0.71250000000000002</v>
      </c>
      <c r="J53" s="10">
        <v>0.5</v>
      </c>
      <c r="K53" s="10">
        <v>0.17916666666666664</v>
      </c>
      <c r="L53" s="10"/>
      <c r="M53" s="5">
        <v>1.2</v>
      </c>
      <c r="N53" s="5">
        <v>0.06</v>
      </c>
      <c r="O53" s="5">
        <v>0.9</v>
      </c>
      <c r="P53" s="3"/>
    </row>
    <row r="54" spans="1:16" x14ac:dyDescent="0.3">
      <c r="A54" s="5"/>
      <c r="B54" s="5"/>
      <c r="C54" s="10" t="s">
        <v>61</v>
      </c>
      <c r="D54" s="10">
        <v>1</v>
      </c>
      <c r="E54" s="10">
        <v>0.5</v>
      </c>
      <c r="F54" s="10">
        <v>0.5</v>
      </c>
      <c r="G54" s="10">
        <v>0.5</v>
      </c>
      <c r="H54" s="10">
        <v>0.875</v>
      </c>
      <c r="I54" s="10">
        <f t="shared" si="0"/>
        <v>0.75</v>
      </c>
      <c r="J54" s="10">
        <v>0.6875</v>
      </c>
      <c r="K54" s="10">
        <v>0.22916666666666669</v>
      </c>
      <c r="L54" s="10"/>
      <c r="M54" s="5">
        <v>1.2</v>
      </c>
      <c r="N54" s="5">
        <v>0</v>
      </c>
      <c r="O54" s="5">
        <v>0.95</v>
      </c>
      <c r="P54" s="3"/>
    </row>
    <row r="55" spans="1:16" x14ac:dyDescent="0.3">
      <c r="A55" s="5"/>
      <c r="B55" s="5"/>
      <c r="C55" s="10" t="s">
        <v>63</v>
      </c>
      <c r="D55" s="10">
        <v>0.92500000000000004</v>
      </c>
      <c r="E55" s="10">
        <v>0.375</v>
      </c>
      <c r="F55" s="10">
        <v>0.625</v>
      </c>
      <c r="G55" s="10">
        <v>0.25</v>
      </c>
      <c r="H55" s="10">
        <v>0.5</v>
      </c>
      <c r="I55" s="10">
        <f t="shared" si="0"/>
        <v>0.77500000000000002</v>
      </c>
      <c r="J55" s="10">
        <v>0.375</v>
      </c>
      <c r="K55" s="10">
        <v>0.16562499999999999</v>
      </c>
      <c r="L55" s="10"/>
      <c r="M55" s="5">
        <v>1.2</v>
      </c>
      <c r="N55" s="5">
        <v>0.06</v>
      </c>
      <c r="O55" s="5">
        <v>0.95</v>
      </c>
      <c r="P55" s="3"/>
    </row>
    <row r="56" spans="1:16" x14ac:dyDescent="0.3">
      <c r="A56" s="5"/>
      <c r="B56" s="5"/>
      <c r="C56" s="10" t="s">
        <v>64</v>
      </c>
      <c r="D56" s="10">
        <v>0.25</v>
      </c>
      <c r="E56" s="10">
        <v>0</v>
      </c>
      <c r="F56" s="10">
        <v>0</v>
      </c>
      <c r="G56" s="10">
        <v>0.75</v>
      </c>
      <c r="H56" s="10">
        <v>1.25</v>
      </c>
      <c r="I56" s="10">
        <f t="shared" si="0"/>
        <v>0.125</v>
      </c>
      <c r="J56" s="10">
        <v>1</v>
      </c>
      <c r="K56" s="10">
        <v>0.58333333333333326</v>
      </c>
      <c r="L56" s="10" t="s">
        <v>74</v>
      </c>
      <c r="M56" s="5">
        <v>1.2</v>
      </c>
      <c r="N56" s="5">
        <v>0</v>
      </c>
      <c r="O56" s="5">
        <v>0.98</v>
      </c>
      <c r="P56" s="3"/>
    </row>
    <row r="57" spans="1:16" x14ac:dyDescent="0.3">
      <c r="A57" s="5"/>
      <c r="B57" s="5"/>
      <c r="C57" s="10" t="s">
        <v>66</v>
      </c>
      <c r="D57" s="10">
        <v>1</v>
      </c>
      <c r="E57" s="10">
        <v>0.625</v>
      </c>
      <c r="F57" s="10">
        <v>0.25</v>
      </c>
      <c r="G57" s="10">
        <v>0.375</v>
      </c>
      <c r="H57" s="10">
        <v>1</v>
      </c>
      <c r="I57" s="10">
        <f t="shared" si="0"/>
        <v>0.625</v>
      </c>
      <c r="J57" s="10">
        <v>0.6875</v>
      </c>
      <c r="K57" s="10">
        <v>0.14322916666666669</v>
      </c>
      <c r="L57" s="10"/>
      <c r="M57" s="5">
        <v>1.2</v>
      </c>
      <c r="N57" s="5">
        <v>0.06</v>
      </c>
      <c r="O57" s="5">
        <v>0.98</v>
      </c>
      <c r="P57" s="3"/>
    </row>
    <row r="58" spans="1:16" x14ac:dyDescent="0.3">
      <c r="A58" s="5" t="s">
        <v>75</v>
      </c>
      <c r="B58" s="1" t="s">
        <v>95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5"/>
      <c r="N58" s="5"/>
      <c r="O58" s="5"/>
      <c r="P58" s="3"/>
    </row>
    <row r="59" spans="1:16" x14ac:dyDescent="0.3">
      <c r="A59" s="5"/>
      <c r="B59" s="5"/>
      <c r="C59" s="10" t="s">
        <v>16</v>
      </c>
      <c r="D59" s="10">
        <v>0.5</v>
      </c>
      <c r="E59" s="10">
        <v>0.5</v>
      </c>
      <c r="F59" s="10">
        <v>0.375</v>
      </c>
      <c r="G59" s="10">
        <v>0.5</v>
      </c>
      <c r="H59" s="10">
        <v>0.75</v>
      </c>
      <c r="I59" s="10">
        <f t="shared" si="0"/>
        <v>0.4375</v>
      </c>
      <c r="J59" s="10">
        <v>0.625</v>
      </c>
      <c r="K59" s="10">
        <v>0.28645833333333337</v>
      </c>
      <c r="L59" s="10" t="s">
        <v>76</v>
      </c>
      <c r="M59" s="5">
        <v>0.8</v>
      </c>
      <c r="N59" s="5">
        <v>0</v>
      </c>
      <c r="O59" s="5">
        <v>0.9</v>
      </c>
      <c r="P59" s="3"/>
    </row>
    <row r="60" spans="1:16" x14ac:dyDescent="0.3">
      <c r="A60" s="5"/>
      <c r="B60" s="5"/>
      <c r="C60" s="10" t="s">
        <v>19</v>
      </c>
      <c r="D60" s="10">
        <v>1</v>
      </c>
      <c r="E60" s="10">
        <v>0.5</v>
      </c>
      <c r="F60" s="10">
        <v>0.5</v>
      </c>
      <c r="G60" s="10">
        <v>0.25</v>
      </c>
      <c r="H60" s="10">
        <v>0.75</v>
      </c>
      <c r="I60" s="10">
        <f t="shared" si="0"/>
        <v>0.75</v>
      </c>
      <c r="J60" s="10">
        <v>0.5</v>
      </c>
      <c r="K60" s="10">
        <v>0.16666666666666669</v>
      </c>
      <c r="L60" s="10" t="s">
        <v>77</v>
      </c>
      <c r="M60" s="5">
        <v>0.8</v>
      </c>
      <c r="N60" s="5">
        <v>0.06</v>
      </c>
      <c r="O60" s="5">
        <v>0.9</v>
      </c>
      <c r="P60" s="3"/>
    </row>
    <row r="61" spans="1:16" x14ac:dyDescent="0.3">
      <c r="A61" s="5"/>
      <c r="B61" s="5"/>
      <c r="C61" s="10" t="s">
        <v>24</v>
      </c>
      <c r="D61" s="10">
        <v>0.875</v>
      </c>
      <c r="E61" s="10">
        <v>0.5</v>
      </c>
      <c r="F61" s="10">
        <v>0.625</v>
      </c>
      <c r="G61" s="10">
        <v>0</v>
      </c>
      <c r="H61" s="10">
        <v>0.625</v>
      </c>
      <c r="I61" s="10">
        <f t="shared" si="0"/>
        <v>0.75</v>
      </c>
      <c r="J61" s="10">
        <v>0.3125</v>
      </c>
      <c r="K61" s="10">
        <v>0.13020833333333331</v>
      </c>
      <c r="L61" s="10"/>
      <c r="M61" s="5">
        <v>0.8</v>
      </c>
      <c r="N61" s="5">
        <v>0</v>
      </c>
      <c r="O61" s="5">
        <v>0.98</v>
      </c>
      <c r="P61" s="3"/>
    </row>
    <row r="62" spans="1:16" x14ac:dyDescent="0.3">
      <c r="A62" s="5"/>
      <c r="B62" s="5"/>
      <c r="C62" s="10" t="s">
        <v>27</v>
      </c>
      <c r="D62" s="10">
        <v>0.75</v>
      </c>
      <c r="E62" s="10">
        <v>0.75</v>
      </c>
      <c r="F62" s="10">
        <v>0.375</v>
      </c>
      <c r="G62" s="10">
        <v>0.5</v>
      </c>
      <c r="H62" s="10">
        <v>1</v>
      </c>
      <c r="I62" s="10">
        <f t="shared" si="0"/>
        <v>0.5625</v>
      </c>
      <c r="J62" s="10">
        <v>0.75</v>
      </c>
      <c r="K62" s="10">
        <v>0.21874999999999997</v>
      </c>
      <c r="L62" s="10"/>
      <c r="M62" s="5">
        <v>0.8</v>
      </c>
      <c r="N62" s="5">
        <v>0.06</v>
      </c>
      <c r="O62" s="5">
        <v>0.98</v>
      </c>
      <c r="P62" s="3"/>
    </row>
    <row r="63" spans="1:16" x14ac:dyDescent="0.3">
      <c r="A63" s="5"/>
      <c r="B63" s="5"/>
      <c r="C63" s="10" t="s">
        <v>28</v>
      </c>
      <c r="D63" s="10">
        <v>0.75</v>
      </c>
      <c r="E63" s="10">
        <v>0.75</v>
      </c>
      <c r="F63" s="10">
        <v>0.25</v>
      </c>
      <c r="G63" s="10">
        <v>0.125</v>
      </c>
      <c r="H63" s="10">
        <v>0.875</v>
      </c>
      <c r="I63" s="10">
        <f t="shared" si="0"/>
        <v>0.5</v>
      </c>
      <c r="J63" s="10">
        <v>0.5</v>
      </c>
      <c r="K63" s="10">
        <v>0.125</v>
      </c>
      <c r="L63" s="10"/>
      <c r="M63" s="5">
        <v>1</v>
      </c>
      <c r="N63" s="5">
        <v>0</v>
      </c>
      <c r="O63" s="5">
        <v>0.9</v>
      </c>
      <c r="P63" s="3"/>
    </row>
    <row r="64" spans="1:16" x14ac:dyDescent="0.3">
      <c r="A64" s="5"/>
      <c r="B64" s="5"/>
      <c r="C64" s="10" t="s">
        <v>31</v>
      </c>
      <c r="D64" s="10">
        <v>0.75</v>
      </c>
      <c r="E64" s="10">
        <v>0.625</v>
      </c>
      <c r="F64" s="10">
        <v>0.5</v>
      </c>
      <c r="G64" s="10">
        <v>0.5</v>
      </c>
      <c r="H64" s="10">
        <v>0.75</v>
      </c>
      <c r="I64" s="10">
        <f t="shared" si="0"/>
        <v>0.625</v>
      </c>
      <c r="J64" s="10">
        <v>0.625</v>
      </c>
      <c r="K64" s="10">
        <v>0.234375</v>
      </c>
      <c r="L64" s="10"/>
      <c r="M64" s="5">
        <v>1</v>
      </c>
      <c r="N64" s="5">
        <v>0.06</v>
      </c>
      <c r="O64" s="5">
        <v>0.9</v>
      </c>
      <c r="P64" s="3"/>
    </row>
    <row r="65" spans="1:16" x14ac:dyDescent="0.3">
      <c r="A65" s="5"/>
      <c r="B65" s="5"/>
      <c r="C65" s="10" t="s">
        <v>54</v>
      </c>
      <c r="D65" s="10">
        <v>0.92500000000000004</v>
      </c>
      <c r="E65" s="10">
        <v>0.75</v>
      </c>
      <c r="F65" s="10">
        <v>0.25</v>
      </c>
      <c r="G65" s="10">
        <v>0.375</v>
      </c>
      <c r="H65" s="10">
        <v>1</v>
      </c>
      <c r="I65" s="10">
        <f t="shared" si="0"/>
        <v>0.58750000000000002</v>
      </c>
      <c r="J65" s="10">
        <v>0.6875</v>
      </c>
      <c r="K65" s="10">
        <v>0.13177083333333339</v>
      </c>
      <c r="L65" s="10"/>
      <c r="M65" s="5">
        <v>1</v>
      </c>
      <c r="N65" s="5">
        <v>0</v>
      </c>
      <c r="O65" s="5">
        <v>0.98</v>
      </c>
      <c r="P65" s="3"/>
    </row>
    <row r="66" spans="1:16" x14ac:dyDescent="0.3">
      <c r="A66" s="5"/>
      <c r="B66" s="5"/>
      <c r="C66" s="10" t="s">
        <v>57</v>
      </c>
      <c r="D66" s="10">
        <v>0.875</v>
      </c>
      <c r="E66" s="10">
        <v>0.75</v>
      </c>
      <c r="F66" s="10">
        <v>0.375</v>
      </c>
      <c r="G66" s="10">
        <v>0.375</v>
      </c>
      <c r="H66" s="10">
        <v>0.75</v>
      </c>
      <c r="I66" s="10">
        <f t="shared" si="0"/>
        <v>0.625</v>
      </c>
      <c r="J66" s="10">
        <v>0.5625</v>
      </c>
      <c r="K66" s="10">
        <v>0.140625</v>
      </c>
      <c r="L66" s="10"/>
      <c r="M66" s="5">
        <v>1</v>
      </c>
      <c r="N66" s="5">
        <v>0.06</v>
      </c>
      <c r="O66" s="5">
        <v>0.98</v>
      </c>
      <c r="P66" s="3"/>
    </row>
    <row r="67" spans="1:16" x14ac:dyDescent="0.3">
      <c r="A67" s="5"/>
      <c r="B67" s="5"/>
      <c r="C67" s="10" t="s">
        <v>58</v>
      </c>
      <c r="D67" s="10">
        <v>0.75</v>
      </c>
      <c r="E67" s="10">
        <v>0.5</v>
      </c>
      <c r="F67" s="10">
        <v>0</v>
      </c>
      <c r="G67" s="10">
        <v>1</v>
      </c>
      <c r="H67" s="10">
        <v>1.125</v>
      </c>
      <c r="I67" s="10">
        <f t="shared" si="0"/>
        <v>0.375</v>
      </c>
      <c r="J67" s="10">
        <v>1.0625</v>
      </c>
      <c r="K67" s="10">
        <v>0.265625</v>
      </c>
      <c r="L67" s="10"/>
      <c r="M67" s="5">
        <v>1.2</v>
      </c>
      <c r="N67" s="5">
        <v>0</v>
      </c>
      <c r="O67" s="5">
        <v>0.9</v>
      </c>
      <c r="P67" s="3"/>
    </row>
    <row r="68" spans="1:16" x14ac:dyDescent="0.3">
      <c r="A68" s="5"/>
      <c r="B68" s="5"/>
      <c r="C68" s="10" t="s">
        <v>60</v>
      </c>
      <c r="D68" s="10">
        <v>0.625</v>
      </c>
      <c r="E68" s="10">
        <v>0.625</v>
      </c>
      <c r="F68" s="10">
        <v>0.375</v>
      </c>
      <c r="G68" s="10">
        <v>0.5</v>
      </c>
      <c r="H68" s="10">
        <v>1</v>
      </c>
      <c r="I68" s="10">
        <f t="shared" si="0"/>
        <v>0.5</v>
      </c>
      <c r="J68" s="10">
        <v>0.75</v>
      </c>
      <c r="K68" s="10">
        <v>0.28125</v>
      </c>
      <c r="L68" s="10"/>
      <c r="M68" s="5">
        <v>1.2</v>
      </c>
      <c r="N68" s="5">
        <v>0.06</v>
      </c>
      <c r="O68" s="5">
        <v>0.9</v>
      </c>
      <c r="P68" s="3"/>
    </row>
    <row r="69" spans="1:16" x14ac:dyDescent="0.3">
      <c r="A69" s="5"/>
      <c r="B69" s="5"/>
      <c r="C69" s="10" t="s">
        <v>61</v>
      </c>
      <c r="D69" s="10">
        <v>0.25</v>
      </c>
      <c r="E69" s="10">
        <v>0.25</v>
      </c>
      <c r="F69" s="10">
        <v>0</v>
      </c>
      <c r="G69" s="10">
        <v>1</v>
      </c>
      <c r="H69" s="10">
        <v>1.25</v>
      </c>
      <c r="I69" s="10">
        <f t="shared" ref="I69:I72" si="1">(D69+F69)/2</f>
        <v>0.125</v>
      </c>
      <c r="J69" s="10">
        <v>1.125</v>
      </c>
      <c r="K69" s="10">
        <v>0.5625</v>
      </c>
      <c r="L69" s="10" t="s">
        <v>78</v>
      </c>
      <c r="M69" s="5">
        <v>1.2</v>
      </c>
      <c r="N69" s="5">
        <v>0</v>
      </c>
      <c r="O69" s="5">
        <v>0.95</v>
      </c>
      <c r="P69" s="3"/>
    </row>
    <row r="70" spans="1:16" x14ac:dyDescent="0.3">
      <c r="A70" s="5"/>
      <c r="B70" s="5"/>
      <c r="C70" s="10" t="s">
        <v>63</v>
      </c>
      <c r="D70" s="10">
        <v>0.875</v>
      </c>
      <c r="E70" s="10">
        <v>0.75</v>
      </c>
      <c r="F70" s="10">
        <v>0.75</v>
      </c>
      <c r="G70" s="10">
        <v>0.5</v>
      </c>
      <c r="H70" s="10">
        <v>1</v>
      </c>
      <c r="I70" s="10">
        <f t="shared" si="1"/>
        <v>0.8125</v>
      </c>
      <c r="J70" s="10">
        <v>0.75</v>
      </c>
      <c r="K70" s="10">
        <v>0.28125</v>
      </c>
      <c r="L70" s="10" t="s">
        <v>43</v>
      </c>
      <c r="M70" s="5">
        <v>1.2</v>
      </c>
      <c r="N70" s="5">
        <v>0.06</v>
      </c>
      <c r="O70" s="5">
        <v>0.95</v>
      </c>
      <c r="P70" s="3"/>
    </row>
    <row r="71" spans="1:16" x14ac:dyDescent="0.3">
      <c r="A71" s="5"/>
      <c r="B71" s="5"/>
      <c r="C71" s="10" t="s">
        <v>64</v>
      </c>
      <c r="D71" s="10">
        <v>0.75</v>
      </c>
      <c r="E71" s="10">
        <v>0.5</v>
      </c>
      <c r="F71" s="10">
        <v>0.5</v>
      </c>
      <c r="G71" s="10">
        <v>0.75</v>
      </c>
      <c r="H71" s="10">
        <v>1</v>
      </c>
      <c r="I71" s="10">
        <f t="shared" si="1"/>
        <v>0.625</v>
      </c>
      <c r="J71" s="10">
        <v>0.875</v>
      </c>
      <c r="K71" s="10">
        <v>0.36458333333333331</v>
      </c>
      <c r="L71" s="10" t="s">
        <v>79</v>
      </c>
      <c r="M71" s="5">
        <v>1.2</v>
      </c>
      <c r="N71" s="5">
        <v>0</v>
      </c>
      <c r="O71" s="5">
        <v>0.98</v>
      </c>
      <c r="P71" s="3"/>
    </row>
    <row r="72" spans="1:16" x14ac:dyDescent="0.3">
      <c r="A72" s="5"/>
      <c r="B72" s="5"/>
      <c r="C72" s="10" t="s">
        <v>66</v>
      </c>
      <c r="D72" s="10">
        <v>1</v>
      </c>
      <c r="E72" s="10">
        <v>0.75</v>
      </c>
      <c r="F72" s="10">
        <v>0.25</v>
      </c>
      <c r="G72" s="10">
        <v>0.25</v>
      </c>
      <c r="H72" s="10">
        <v>0.75</v>
      </c>
      <c r="I72" s="10">
        <f t="shared" si="1"/>
        <v>0.625</v>
      </c>
      <c r="J72" s="10">
        <v>0.5</v>
      </c>
      <c r="K72" s="10">
        <v>8.3333333333333315E-2</v>
      </c>
      <c r="L72" s="10" t="s">
        <v>80</v>
      </c>
      <c r="M72" s="5">
        <v>1.2</v>
      </c>
      <c r="N72" s="5">
        <v>0.06</v>
      </c>
      <c r="O72" s="5">
        <v>0.98</v>
      </c>
      <c r="P72" s="3"/>
    </row>
  </sheetData>
  <mergeCells count="2">
    <mergeCell ref="A1:B1"/>
    <mergeCell ref="C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BF9C-263D-4E71-BE3D-1BF3530AFFC0}">
  <dimension ref="A3:F18"/>
  <sheetViews>
    <sheetView tabSelected="1" topLeftCell="B1" zoomScale="96" workbookViewId="0">
      <selection activeCell="G7" sqref="G7"/>
    </sheetView>
  </sheetViews>
  <sheetFormatPr defaultRowHeight="14.4" x14ac:dyDescent="0.3"/>
  <cols>
    <col min="1" max="1" width="17.6640625" bestFit="1" customWidth="1"/>
    <col min="2" max="2" width="16.21875" bestFit="1" customWidth="1"/>
    <col min="3" max="6" width="12.44140625" bestFit="1" customWidth="1"/>
    <col min="7" max="7" width="12.6640625" bestFit="1" customWidth="1"/>
  </cols>
  <sheetData>
    <row r="3" spans="1:6" x14ac:dyDescent="0.3">
      <c r="A3" s="6" t="s">
        <v>92</v>
      </c>
      <c r="B3" s="6" t="s">
        <v>89</v>
      </c>
    </row>
    <row r="4" spans="1:6" x14ac:dyDescent="0.3">
      <c r="A4" s="6" t="s">
        <v>86</v>
      </c>
      <c r="B4">
        <v>0</v>
      </c>
      <c r="C4">
        <v>0.02</v>
      </c>
      <c r="D4">
        <v>0.04</v>
      </c>
      <c r="E4">
        <v>0.06</v>
      </c>
      <c r="F4" t="s">
        <v>87</v>
      </c>
    </row>
    <row r="5" spans="1:6" x14ac:dyDescent="0.3">
      <c r="A5" s="7">
        <v>0.6</v>
      </c>
      <c r="B5">
        <v>1</v>
      </c>
      <c r="C5">
        <v>0.95833333333333337</v>
      </c>
      <c r="D5">
        <v>0.875</v>
      </c>
      <c r="E5">
        <v>0.92500000000000004</v>
      </c>
      <c r="F5">
        <v>0.9453125</v>
      </c>
    </row>
    <row r="6" spans="1:6" x14ac:dyDescent="0.3">
      <c r="A6" s="7">
        <v>0.8</v>
      </c>
      <c r="B6">
        <v>0.78749999999999998</v>
      </c>
      <c r="C6">
        <v>0.79166666666666663</v>
      </c>
      <c r="D6">
        <v>0.85416666666666663</v>
      </c>
      <c r="E6">
        <v>0.78749999999999998</v>
      </c>
      <c r="F6">
        <v>0.80078125</v>
      </c>
    </row>
    <row r="7" spans="1:6" x14ac:dyDescent="0.3">
      <c r="A7" s="7">
        <v>1</v>
      </c>
      <c r="B7">
        <v>0.67321428571428577</v>
      </c>
      <c r="C7">
        <v>0.75</v>
      </c>
      <c r="D7">
        <v>0.625</v>
      </c>
      <c r="E7">
        <v>0.67499999999999993</v>
      </c>
      <c r="F7">
        <v>0.67279411764705888</v>
      </c>
    </row>
    <row r="8" spans="1:6" x14ac:dyDescent="0.3">
      <c r="A8" s="7">
        <v>1.2</v>
      </c>
      <c r="B8">
        <v>0.47222222222222221</v>
      </c>
      <c r="E8">
        <v>0.71388888888888891</v>
      </c>
      <c r="F8">
        <v>0.59305555555555556</v>
      </c>
    </row>
    <row r="9" spans="1:6" x14ac:dyDescent="0.3">
      <c r="A9" s="7" t="s">
        <v>87</v>
      </c>
      <c r="B9">
        <v>0.68846153846153846</v>
      </c>
      <c r="C9">
        <v>0.8571428571428571</v>
      </c>
      <c r="D9">
        <v>0.8046875</v>
      </c>
      <c r="E9">
        <v>0.75817307692307689</v>
      </c>
      <c r="F9">
        <v>0.7470149253731343</v>
      </c>
    </row>
    <row r="12" spans="1:6" x14ac:dyDescent="0.3">
      <c r="A12" s="6" t="s">
        <v>92</v>
      </c>
      <c r="B12" s="6" t="s">
        <v>89</v>
      </c>
    </row>
    <row r="13" spans="1:6" x14ac:dyDescent="0.3">
      <c r="A13" s="6" t="s">
        <v>86</v>
      </c>
      <c r="B13">
        <v>0.6</v>
      </c>
      <c r="C13">
        <v>0.8</v>
      </c>
      <c r="D13">
        <v>1</v>
      </c>
      <c r="E13">
        <v>1.2</v>
      </c>
      <c r="F13" t="s">
        <v>87</v>
      </c>
    </row>
    <row r="14" spans="1:6" x14ac:dyDescent="0.3">
      <c r="A14" s="7">
        <v>0</v>
      </c>
      <c r="B14">
        <v>1</v>
      </c>
      <c r="C14">
        <v>0.78749999999999998</v>
      </c>
      <c r="D14">
        <v>0.67321428571428577</v>
      </c>
      <c r="E14">
        <v>0.47222222222222221</v>
      </c>
      <c r="F14">
        <v>0.68846153846153846</v>
      </c>
    </row>
    <row r="15" spans="1:6" x14ac:dyDescent="0.3">
      <c r="A15" s="7">
        <v>0.02</v>
      </c>
      <c r="B15">
        <v>0.95833333333333337</v>
      </c>
      <c r="C15">
        <v>0.79166666666666663</v>
      </c>
      <c r="D15">
        <v>0.75</v>
      </c>
      <c r="F15">
        <v>0.8571428571428571</v>
      </c>
    </row>
    <row r="16" spans="1:6" x14ac:dyDescent="0.3">
      <c r="A16" s="7">
        <v>0.04</v>
      </c>
      <c r="B16">
        <v>0.875</v>
      </c>
      <c r="C16">
        <v>0.85416666666666663</v>
      </c>
      <c r="D16">
        <v>0.625</v>
      </c>
      <c r="F16">
        <v>0.8046875</v>
      </c>
    </row>
    <row r="17" spans="1:6" x14ac:dyDescent="0.3">
      <c r="A17" s="7">
        <v>0.06</v>
      </c>
      <c r="B17">
        <v>0.92500000000000004</v>
      </c>
      <c r="C17">
        <v>0.78749999999999998</v>
      </c>
      <c r="D17">
        <v>0.67499999999999993</v>
      </c>
      <c r="E17">
        <v>0.71388888888888891</v>
      </c>
      <c r="F17">
        <v>0.75817307692307689</v>
      </c>
    </row>
    <row r="18" spans="1:6" x14ac:dyDescent="0.3">
      <c r="A18" s="7" t="s">
        <v>87</v>
      </c>
      <c r="B18">
        <v>0.9453125</v>
      </c>
      <c r="C18">
        <v>0.80078125</v>
      </c>
      <c r="D18">
        <v>0.67279411764705888</v>
      </c>
      <c r="E18">
        <v>0.59305555555555556</v>
      </c>
      <c r="F18">
        <v>0.7470149253731343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AF57-6C8D-4DE2-8ABC-46E02D596A39}">
  <dimension ref="A3:F9"/>
  <sheetViews>
    <sheetView topLeftCell="C1" workbookViewId="0">
      <selection activeCell="E4" sqref="E4"/>
    </sheetView>
  </sheetViews>
  <sheetFormatPr defaultRowHeight="14.4" x14ac:dyDescent="0.3"/>
  <cols>
    <col min="1" max="1" width="19.44140625" bestFit="1" customWidth="1"/>
    <col min="2" max="2" width="15.5546875" bestFit="1" customWidth="1"/>
    <col min="3" max="3" width="12" bestFit="1" customWidth="1"/>
    <col min="4" max="4" width="10" bestFit="1" customWidth="1"/>
    <col min="5" max="7" width="12" bestFit="1" customWidth="1"/>
  </cols>
  <sheetData>
    <row r="3" spans="1:6" x14ac:dyDescent="0.3">
      <c r="A3" s="6" t="s">
        <v>88</v>
      </c>
      <c r="B3" s="6" t="s">
        <v>89</v>
      </c>
    </row>
    <row r="4" spans="1:6" x14ac:dyDescent="0.3">
      <c r="A4" s="6" t="s">
        <v>86</v>
      </c>
      <c r="B4">
        <v>0</v>
      </c>
      <c r="C4">
        <v>0.02</v>
      </c>
      <c r="D4">
        <v>0.04</v>
      </c>
      <c r="E4">
        <v>0.06</v>
      </c>
      <c r="F4" t="s">
        <v>87</v>
      </c>
    </row>
    <row r="5" spans="1:6" x14ac:dyDescent="0.3">
      <c r="A5" s="7">
        <v>0.6</v>
      </c>
      <c r="B5">
        <v>0</v>
      </c>
      <c r="C5">
        <v>0</v>
      </c>
      <c r="D5">
        <v>6.25E-2</v>
      </c>
      <c r="E5">
        <v>0.125</v>
      </c>
      <c r="F5">
        <v>5.078125E-2</v>
      </c>
    </row>
    <row r="6" spans="1:6" x14ac:dyDescent="0.3">
      <c r="A6" s="7">
        <v>0.8</v>
      </c>
      <c r="B6">
        <v>0.23749999999999999</v>
      </c>
      <c r="C6">
        <v>8.3333333333333329E-2</v>
      </c>
      <c r="D6">
        <v>6.25E-2</v>
      </c>
      <c r="E6">
        <v>0.27500000000000002</v>
      </c>
      <c r="F6">
        <v>0.1875</v>
      </c>
    </row>
    <row r="7" spans="1:6" x14ac:dyDescent="0.3">
      <c r="A7" s="7">
        <v>1</v>
      </c>
      <c r="B7">
        <v>0.3392857142857143</v>
      </c>
      <c r="C7">
        <v>0.1875</v>
      </c>
      <c r="D7">
        <v>0.28125</v>
      </c>
      <c r="E7">
        <v>0.48214285714285715</v>
      </c>
      <c r="F7">
        <v>0.38235294117647056</v>
      </c>
    </row>
    <row r="8" spans="1:6" x14ac:dyDescent="0.3">
      <c r="A8" s="7">
        <v>1.2</v>
      </c>
      <c r="B8">
        <v>0.78472222222222221</v>
      </c>
      <c r="E8">
        <v>0.5</v>
      </c>
      <c r="F8">
        <v>0.64236111111111116</v>
      </c>
    </row>
    <row r="9" spans="1:6" x14ac:dyDescent="0.3">
      <c r="A9" s="7" t="s">
        <v>87</v>
      </c>
      <c r="B9">
        <v>0.40865384615384615</v>
      </c>
      <c r="C9">
        <v>6.25E-2</v>
      </c>
      <c r="D9">
        <v>0.1171875</v>
      </c>
      <c r="E9">
        <v>0.37980769230769229</v>
      </c>
      <c r="F9">
        <v>0.32649253731343286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EB72-8815-4FC3-B13D-FC5D85908535}">
  <dimension ref="A3:E9"/>
  <sheetViews>
    <sheetView workbookViewId="0">
      <selection activeCell="G21" sqref="G21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6" width="12" bestFit="1" customWidth="1"/>
  </cols>
  <sheetData>
    <row r="3" spans="1:5" x14ac:dyDescent="0.3">
      <c r="A3" s="6" t="s">
        <v>90</v>
      </c>
      <c r="B3" s="6" t="s">
        <v>89</v>
      </c>
    </row>
    <row r="4" spans="1:5" x14ac:dyDescent="0.3">
      <c r="A4" s="6" t="s">
        <v>86</v>
      </c>
      <c r="B4">
        <v>0.9</v>
      </c>
      <c r="C4">
        <v>0.95</v>
      </c>
      <c r="D4">
        <v>0.98</v>
      </c>
      <c r="E4" t="s">
        <v>87</v>
      </c>
    </row>
    <row r="5" spans="1:5" x14ac:dyDescent="0.3">
      <c r="A5" s="7">
        <v>0.6</v>
      </c>
      <c r="B5">
        <v>0.20833333333333334</v>
      </c>
      <c r="C5">
        <v>0.125</v>
      </c>
      <c r="D5">
        <v>0.375</v>
      </c>
      <c r="E5">
        <v>0.25</v>
      </c>
    </row>
    <row r="6" spans="1:5" x14ac:dyDescent="0.3">
      <c r="A6" s="7">
        <v>0.8</v>
      </c>
      <c r="B6">
        <v>0.52083333333333337</v>
      </c>
      <c r="C6">
        <v>0.40625</v>
      </c>
      <c r="D6">
        <v>0.52083333333333337</v>
      </c>
      <c r="E6">
        <v>0.4921875</v>
      </c>
    </row>
    <row r="7" spans="1:5" x14ac:dyDescent="0.3">
      <c r="A7" s="7">
        <v>1</v>
      </c>
      <c r="B7">
        <v>0.640625</v>
      </c>
      <c r="C7">
        <v>0.41666666666666669</v>
      </c>
      <c r="D7">
        <v>0.58333333333333337</v>
      </c>
      <c r="E7">
        <v>0.58088235294117652</v>
      </c>
    </row>
    <row r="8" spans="1:5" x14ac:dyDescent="0.3">
      <c r="A8" s="7">
        <v>1.2</v>
      </c>
      <c r="B8">
        <v>0.52083333333333337</v>
      </c>
      <c r="C8">
        <v>0.5625</v>
      </c>
      <c r="D8">
        <v>0.58333333333333337</v>
      </c>
      <c r="E8">
        <v>0.55555555555555558</v>
      </c>
    </row>
    <row r="9" spans="1:5" x14ac:dyDescent="0.3">
      <c r="A9" s="7" t="s">
        <v>87</v>
      </c>
      <c r="B9">
        <v>0.48557692307692307</v>
      </c>
      <c r="C9">
        <v>0.39705882352941174</v>
      </c>
      <c r="D9">
        <v>0.515625</v>
      </c>
      <c r="E9">
        <v>0.47388059701492535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5DA1-1F96-4CB3-96EB-FCDA26755FF2}">
  <dimension ref="A3:F9"/>
  <sheetViews>
    <sheetView zoomScaleNormal="100" workbookViewId="0">
      <selection activeCell="H21" sqref="H21"/>
    </sheetView>
  </sheetViews>
  <sheetFormatPr defaultRowHeight="14.4" x14ac:dyDescent="0.3"/>
  <cols>
    <col min="1" max="1" width="19.44140625" bestFit="1" customWidth="1"/>
    <col min="2" max="2" width="15.5546875" bestFit="1" customWidth="1"/>
    <col min="3" max="7" width="12" bestFit="1" customWidth="1"/>
  </cols>
  <sheetData>
    <row r="3" spans="1:6" x14ac:dyDescent="0.3">
      <c r="A3" s="6" t="s">
        <v>88</v>
      </c>
      <c r="B3" s="6" t="s">
        <v>89</v>
      </c>
    </row>
    <row r="4" spans="1:6" x14ac:dyDescent="0.3">
      <c r="A4" s="6" t="s">
        <v>86</v>
      </c>
      <c r="B4">
        <v>0.6</v>
      </c>
      <c r="C4">
        <v>0.8</v>
      </c>
      <c r="D4">
        <v>1</v>
      </c>
      <c r="E4">
        <v>1.2</v>
      </c>
      <c r="F4" t="s">
        <v>87</v>
      </c>
    </row>
    <row r="5" spans="1:6" x14ac:dyDescent="0.3">
      <c r="A5" s="7">
        <v>0</v>
      </c>
      <c r="B5">
        <v>0</v>
      </c>
      <c r="C5">
        <v>0.23749999999999999</v>
      </c>
      <c r="D5">
        <v>0.3392857142857143</v>
      </c>
      <c r="E5">
        <v>0.78472222222222221</v>
      </c>
      <c r="F5">
        <v>0.40865384615384615</v>
      </c>
    </row>
    <row r="6" spans="1:6" x14ac:dyDescent="0.3">
      <c r="A6" s="7">
        <v>0.02</v>
      </c>
      <c r="B6">
        <v>0</v>
      </c>
      <c r="C6">
        <v>8.3333333333333329E-2</v>
      </c>
      <c r="D6">
        <v>0.1875</v>
      </c>
      <c r="F6">
        <v>6.25E-2</v>
      </c>
    </row>
    <row r="7" spans="1:6" x14ac:dyDescent="0.3">
      <c r="A7" s="7">
        <v>0.04</v>
      </c>
      <c r="B7">
        <v>6.25E-2</v>
      </c>
      <c r="C7">
        <v>6.25E-2</v>
      </c>
      <c r="D7">
        <v>0.28125</v>
      </c>
      <c r="F7">
        <v>0.1171875</v>
      </c>
    </row>
    <row r="8" spans="1:6" x14ac:dyDescent="0.3">
      <c r="A8" s="7">
        <v>0.06</v>
      </c>
      <c r="B8">
        <v>0.125</v>
      </c>
      <c r="C8">
        <v>0.27500000000000002</v>
      </c>
      <c r="D8">
        <v>0.48214285714285715</v>
      </c>
      <c r="E8">
        <v>0.5</v>
      </c>
      <c r="F8">
        <v>0.37980769230769229</v>
      </c>
    </row>
    <row r="9" spans="1:6" x14ac:dyDescent="0.3">
      <c r="A9" s="7" t="s">
        <v>87</v>
      </c>
      <c r="B9">
        <v>5.078125E-2</v>
      </c>
      <c r="C9">
        <v>0.1875</v>
      </c>
      <c r="D9">
        <v>0.38235294117647056</v>
      </c>
      <c r="E9">
        <v>0.64236111111111116</v>
      </c>
      <c r="F9">
        <v>0.32649253731343286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7150-FFA6-4F2D-B7A8-8DE3E91991D4}">
  <dimension ref="A3:F9"/>
  <sheetViews>
    <sheetView topLeftCell="B2" workbookViewId="0">
      <selection activeCell="T9" sqref="T9"/>
    </sheetView>
  </sheetViews>
  <sheetFormatPr defaultRowHeight="14.4" x14ac:dyDescent="0.3"/>
  <cols>
    <col min="1" max="1" width="19.44140625" bestFit="1" customWidth="1"/>
    <col min="2" max="2" width="15.5546875" bestFit="1" customWidth="1"/>
    <col min="3" max="3" width="12" bestFit="1" customWidth="1"/>
    <col min="4" max="4" width="10" bestFit="1" customWidth="1"/>
    <col min="5" max="7" width="12" bestFit="1" customWidth="1"/>
  </cols>
  <sheetData>
    <row r="3" spans="1:6" x14ac:dyDescent="0.3">
      <c r="A3" s="6" t="s">
        <v>88</v>
      </c>
      <c r="B3" s="6" t="s">
        <v>89</v>
      </c>
    </row>
    <row r="4" spans="1:6" x14ac:dyDescent="0.3">
      <c r="A4" s="6" t="s">
        <v>86</v>
      </c>
      <c r="B4">
        <v>0</v>
      </c>
      <c r="C4">
        <v>0.02</v>
      </c>
      <c r="D4">
        <v>0.04</v>
      </c>
      <c r="E4">
        <v>0.06</v>
      </c>
      <c r="F4" t="s">
        <v>87</v>
      </c>
    </row>
    <row r="5" spans="1:6" x14ac:dyDescent="0.3">
      <c r="A5" s="7">
        <v>0.6</v>
      </c>
      <c r="B5">
        <v>0</v>
      </c>
      <c r="C5">
        <v>0</v>
      </c>
      <c r="D5">
        <v>6.25E-2</v>
      </c>
      <c r="E5">
        <v>0.125</v>
      </c>
      <c r="F5">
        <v>5.078125E-2</v>
      </c>
    </row>
    <row r="6" spans="1:6" x14ac:dyDescent="0.3">
      <c r="A6" s="7">
        <v>0.8</v>
      </c>
      <c r="B6">
        <v>0.23749999999999999</v>
      </c>
      <c r="C6">
        <v>8.3333333333333329E-2</v>
      </c>
      <c r="D6">
        <v>6.25E-2</v>
      </c>
      <c r="E6">
        <v>0.27500000000000002</v>
      </c>
      <c r="F6">
        <v>0.1875</v>
      </c>
    </row>
    <row r="7" spans="1:6" x14ac:dyDescent="0.3">
      <c r="A7" s="7">
        <v>1</v>
      </c>
      <c r="B7">
        <v>0.3392857142857143</v>
      </c>
      <c r="C7">
        <v>0.1875</v>
      </c>
      <c r="D7">
        <v>0.28125</v>
      </c>
      <c r="E7">
        <v>0.48214285714285715</v>
      </c>
      <c r="F7">
        <v>0.38235294117647056</v>
      </c>
    </row>
    <row r="8" spans="1:6" x14ac:dyDescent="0.3">
      <c r="A8" s="7">
        <v>1.2</v>
      </c>
      <c r="B8">
        <v>0.78472222222222221</v>
      </c>
      <c r="E8">
        <v>0.5</v>
      </c>
      <c r="F8">
        <v>0.64236111111111116</v>
      </c>
    </row>
    <row r="9" spans="1:6" x14ac:dyDescent="0.3">
      <c r="A9" s="7" t="s">
        <v>87</v>
      </c>
      <c r="B9">
        <v>0.40865384615384615</v>
      </c>
      <c r="C9">
        <v>6.25E-2</v>
      </c>
      <c r="D9">
        <v>0.1171875</v>
      </c>
      <c r="E9">
        <v>0.37980769230769229</v>
      </c>
      <c r="F9">
        <v>0.32649253731343286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12F2-BFE5-4C69-9528-60FD47E1ACA4}">
  <dimension ref="A3:E9"/>
  <sheetViews>
    <sheetView zoomScaleNormal="100" workbookViewId="0">
      <selection activeCell="L19" sqref="L19"/>
    </sheetView>
  </sheetViews>
  <sheetFormatPr defaultRowHeight="15" customHeight="1" x14ac:dyDescent="0.3"/>
  <cols>
    <col min="1" max="1" width="19.44140625" bestFit="1" customWidth="1"/>
    <col min="2" max="2" width="15.5546875" bestFit="1" customWidth="1"/>
    <col min="3" max="6" width="12" bestFit="1" customWidth="1"/>
  </cols>
  <sheetData>
    <row r="3" spans="1:5" ht="15" customHeight="1" x14ac:dyDescent="0.3">
      <c r="A3" s="6" t="s">
        <v>88</v>
      </c>
      <c r="B3" s="6" t="s">
        <v>89</v>
      </c>
    </row>
    <row r="4" spans="1:5" ht="15" customHeight="1" x14ac:dyDescent="0.3">
      <c r="A4" s="6" t="s">
        <v>86</v>
      </c>
      <c r="B4">
        <v>0.9</v>
      </c>
      <c r="C4">
        <v>0.95</v>
      </c>
      <c r="D4">
        <v>0.98</v>
      </c>
      <c r="E4" t="s">
        <v>87</v>
      </c>
    </row>
    <row r="5" spans="1:5" ht="15" customHeight="1" x14ac:dyDescent="0.3">
      <c r="A5" s="7">
        <v>0.6</v>
      </c>
      <c r="B5">
        <v>3.125E-2</v>
      </c>
      <c r="C5">
        <v>0</v>
      </c>
      <c r="D5">
        <v>0.10416666666666667</v>
      </c>
      <c r="E5">
        <v>5.078125E-2</v>
      </c>
    </row>
    <row r="6" spans="1:5" ht="15" customHeight="1" x14ac:dyDescent="0.3">
      <c r="A6" s="7">
        <v>0.8</v>
      </c>
      <c r="B6">
        <v>0.22916666666666666</v>
      </c>
      <c r="C6">
        <v>4.6875E-2</v>
      </c>
      <c r="D6">
        <v>0.23958333333333334</v>
      </c>
      <c r="E6">
        <v>0.1875</v>
      </c>
    </row>
    <row r="7" spans="1:5" ht="15" customHeight="1" x14ac:dyDescent="0.3">
      <c r="A7" s="7">
        <v>1</v>
      </c>
      <c r="B7">
        <v>0.375</v>
      </c>
      <c r="C7">
        <v>0.22916666666666666</v>
      </c>
      <c r="D7">
        <v>0.46875</v>
      </c>
      <c r="E7">
        <v>0.38235294117647056</v>
      </c>
    </row>
    <row r="8" spans="1:5" ht="15" customHeight="1" x14ac:dyDescent="0.3">
      <c r="A8" s="7">
        <v>1.2</v>
      </c>
      <c r="B8">
        <v>0.57291666666666663</v>
      </c>
      <c r="C8">
        <v>0.64583333333333337</v>
      </c>
      <c r="D8">
        <v>0.70833333333333337</v>
      </c>
      <c r="E8">
        <v>0.64236111111111116</v>
      </c>
    </row>
    <row r="9" spans="1:5" ht="15" customHeight="1" x14ac:dyDescent="0.3">
      <c r="A9" s="7" t="s">
        <v>87</v>
      </c>
      <c r="B9">
        <v>0.30769230769230771</v>
      </c>
      <c r="C9">
        <v>0.27941176470588236</v>
      </c>
      <c r="D9">
        <v>0.38020833333333331</v>
      </c>
      <c r="E9">
        <v>0.32649253731343286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Stability</vt:lpstr>
      <vt:lpstr>Exploration-Minp-Temp</vt:lpstr>
      <vt:lpstr>Musicality-Temp-Topp</vt:lpstr>
      <vt:lpstr>Exploration-tenp-minp</vt:lpstr>
      <vt:lpstr>Exploration3d-temp-minp</vt:lpstr>
      <vt:lpstr>Exploration-topp-temp-3d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Haber</dc:creator>
  <cp:lastModifiedBy>Anthony Haber</cp:lastModifiedBy>
  <dcterms:created xsi:type="dcterms:W3CDTF">2026-02-16T14:49:42Z</dcterms:created>
  <dcterms:modified xsi:type="dcterms:W3CDTF">2026-02-16T17:25:57Z</dcterms:modified>
</cp:coreProperties>
</file>